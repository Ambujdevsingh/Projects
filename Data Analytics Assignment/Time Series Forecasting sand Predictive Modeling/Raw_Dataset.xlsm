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/>
  <mc:AlternateContent xmlns:mc="http://schemas.openxmlformats.org/markup-compatibility/2006">
    <mc:Choice Requires="x15">
      <x15ac:absPath xmlns:x15ac="http://schemas.microsoft.com/office/spreadsheetml/2010/11/ac" url="C:\Users\ambuj\Downloads\"/>
    </mc:Choice>
  </mc:AlternateContent>
  <xr:revisionPtr revIDLastSave="0" documentId="13_ncr:1_{3D5C81A5-24B5-4A70-ACF7-627834D21E44}" xr6:coauthVersionLast="47" xr6:coauthVersionMax="47" xr10:uidLastSave="{00000000-0000-0000-0000-000000000000}"/>
  <bookViews>
    <workbookView xWindow="-110" yWindow="-110" windowWidth="19420" windowHeight="10300" tabRatio="784" xr2:uid="{00000000-000D-0000-FFFF-FFFF00000000}"/>
  </bookViews>
  <sheets>
    <sheet name="Data_Raw" sheetId="73" r:id="rId1"/>
    <sheet name="Sheet72" sheetId="72" state="hidden" r:id="rId2"/>
    <sheet name="Sheet69" sheetId="69" state="hidden" r:id="rId3"/>
    <sheet name="TS_Lags1" sheetId="71" state="hidden" r:id="rId4"/>
    <sheet name="TS_Lags" sheetId="70" state="hidden" r:id="rId5"/>
    <sheet name="Sheet61" sheetId="61" state="hidden" r:id="rId6"/>
    <sheet name="Sheet29" sheetId="29" state="hidden" r:id="rId7"/>
    <sheet name="TSPartition6" sheetId="54" state="hidden" r:id="rId8"/>
  </sheets>
  <definedNames>
    <definedName name="xlm_30_1" localSheetId="6" hidden="1">"'{""wkbk"":""RAW_DATASET.xlsm"",""wksheet"":""Sheet29"",""data_range"":""$A$2:$R$161"",""has_header"":true,""input_cols"":[{""varName"":""Travellers('000)""},{""varName"":""T2""},{""varName"":""D1""},{""varName"":""D2""},{""varName"":""D3""},{""varName"":""D4""},{""varName"":""D5""},{""varName"":""D6"""</definedName>
    <definedName name="xlm_30_2" localSheetId="6" hidden="1">"'},{""varName"":""D7""},{""varName"":""D8""},{""varName"":""D9""},{""varName"":""D10""},{""varName"":""D11""},{""varName"":""D12""}],""cat_cols"":[],""firstRow"":2,""rows"":159,""isPartitionSheet"":false,""type"":2,""time_var"":{""varId"":2,""varName"":""T"",""colDescr"":{""flags"":0,""varId"":2,""uniqu"</definedName>
    <definedName name="xlm_30_3" localSheetId="6" hidden="1">"'eValsCount"":159,""dataRowCount"":159}},""trainPct"":60,""trainRecs"":95}"</definedName>
    <definedName name="xlm_41_1" localSheetId="0" hidden="1">"'{""wkbk"":""Models.xlsm"",""wksheet"":""Data_Raw"",""data_range"":""$K$1:$K$96"",""has_header"":true,""input_cols"":[],""firstRow"":1,""rows"":95,""tsSelectedVar"":{""varId"":0,""varName"":""Residual_0"",""colDescr"":{""flags"":16,""varId"":0,""uniqueValsCount"":95,""dataRowCount"":95}},""tes"</definedName>
    <definedName name="xlm_41_1" localSheetId="2" hidden="1">"'{""wkbk"":""RAW_DATASET.xlsm"",""wksheet"":""Sheet69"",""data_range"":""$B$1:$B$96"",""has_header"":true,""input_cols"":[],""firstRow"":1,""rows"":95,""tsSelectedVar"":{""varId"":0,""varName"":""Residual"",""colDescr"":{""flags"":16,""varId"":0,""uniqueValsCount"":95,""dataRowCount"":95}},""t"</definedName>
    <definedName name="xlm_41_2" localSheetId="0" hidden="1">"'t_rows"":0,""isPartitionSheet"":false,""minTrainingLag"":0,""maxTrainingLag"":20,""plotACFChart"":true,""plotACVFChart"":false,""plotPACFChart"":false}"</definedName>
    <definedName name="xlm_41_2" localSheetId="2" hidden="1">"'est_rows"":0,""isPartitionSheet"":false,""minTrainingLag"":0,""maxTrainingLag"":12,""plotACFChart"":true,""plotACVFChart"":false,""plotPACFChart"":false}"</definedName>
    <definedName name="xlm_42_1" localSheetId="0" hidden="1">"'{""wkbk"":""Models.xlsm"",""wksheet"":""Data_Raw"",""data_range"":""$H$1:$H$96"",""has_header"":true,""input_cols"":[],""firstRow"":1,""rows"":95,""tsSelectedVar"":{""varId"":0,""varName"":""Residual"",""colDescr"":{""flags"":16,""varId"":0,""uniqueValsCount"":95,""dataRowCount"":95}},""test_"</definedName>
    <definedName name="xlm_42_2" localSheetId="0" hidden="1">"'rows"":0,""isPartitionSheet"":false,""subtractMean"":false,""fitSeasonalModel"":false,""nonSeasAutoRegressive"":1,""nonSeasDifference"":0,""nonSeasMovingAvg"":0,""maxIteration"":200,""fittedValsAndResids"":true,""varCovarMatrix"":true,""giveForecast"":false}"</definedName>
    <definedName name="xlm_701_1" localSheetId="7" hidden="1">"'{""wkbk"":""RAW_DATASET.xlsm"",""wksheet"":""TSPartition6"",""data_range"":"""",""has_header"":true,""firstRow"":-1,""rows"":159,""train_rows"":95,""validation_rows"":64,""test_rows"":0,""trainingDataRange"":""$C$37:$R$131"",""validationDataRange"":""$C$132:$R$195"",""allDataRange"":""$C$"</definedName>
    <definedName name="xlm_701_2" localSheetId="7" hidden="1">"'36:$R$195"",""isPartitionSheet"":true,""partitionData"":false,""trainDetailRpt"":true,""trainSummaryRpt"":true,""trainLiftChart"":false,""trainROCCurve"":false,""validationDetailRpt"":true,""validationSummaryRpt"":true,""validationLiftChart"":false,""validROCCurve"":false,""n"</definedName>
    <definedName name="xlm_701_3" localSheetId="7" hidden="1">"'ewDataWorksheet"":true,""newDataDatabase"":false,""newDataWorksheetParams"":{""newDataWorkbook"":""RAW_DATASET.xlsm"",""newDataWorksheet"":""Sheet61"",""newDataRange"":""$A$1:$O$4"",""newDataNumRowsWS"":3,""newDataNumCols"":15,""newHasHeader"":true},""rescalerParams"":{""techniqu"</definedName>
    <definedName name="xlm_701_4" localSheetId="7" hidden="1">"'e"":null,""correction"":null,""normType"":null,""rescale"":false},""estimatorParams"":{""fitIntercept"":true},""modelParams"":null,""displayParams"":{""showVarCovar"":false,""showMulticollinearity"":false,""showDetailedCoefficients"":true,""showANOVA"":false,""showDetailedResid"</definedName>
    <definedName name="xlm_701_5" localSheetId="7" hidden="1">"'uals"":true,""showInfluenceDiagnostics"":false,""showPredictionIntervals"":true},""fsParams"":{""selectVariables"":false,""fsMethod"":null,""fIn"":null,""fOut"":null,""numSubsets"":null,""maxSubsetSize"":null},""varSelectionOnly"":false}"</definedName>
    <definedName name="xlm_pdnc_1" localSheetId="7" hidden="1">"'{""input_cols"":[{""varName"":""T""},{""varName"":""T2""},{""varName"":""D1""},{""varName"":""D2""},{""varName"":""D3""},{""varName"":""D4""},{""varName"":""D5""},{""varName"":""D6""},{""varName"":""D7""},{""varName"":""D8""},{""varName"":""D9""},{""varName"":""D10""},{""varName"":""D11""},{""varName"":""D12""}"</definedName>
    <definedName name="xlm_pdnc_2" localSheetId="7" hidden="1">"'],""cat_cols"":[],""output_var"":{""varName"":""Travellers('000)""}}"</definedName>
    <definedName name="xlmACFTrainData" localSheetId="4" hidden="1">"{""xValsRange"":""C30:C50"",""yValsRange"":""D30:D50"",""lci"":-0.2011,""uci"":0.2011,""minLag"":0,""maxLag"":20,""xAxisTitle"":""Lag"",""yAxisTitle"":""Autocorrelation"",""chartTitle"":""ACF Plot: Residual (Training)""}"</definedName>
    <definedName name="xlmACFTrainData" localSheetId="3" hidden="1">"{""xValsRange"":""C30:C42"",""yValsRange"":""D30:D42"",""lci"":-0.2011,""uci"":0.2011,""minLag"":0,""maxLag"":12,""xAxisTitle"":""Lag"",""yAxisTitle"":""Autocorrelation"",""chartTitle"":""ACF Plot: Residual (Training)""}"</definedName>
    <definedName name="xlmACVFTrainData" localSheetId="4" hidden="1">"{""xValsRange"":""G30:G50"",""yValsRange"":""H30:H50"",""minLag"":0,""maxLag"":20,""xAxisTitle"":""Lag"",""yAxisTitle"":""Autocovariance"",""chartTitle"":""ACVF Plot: Residual (Training)""}"</definedName>
    <definedName name="xlmPACFTrainData" localSheetId="4" hidden="1">"{""xValsRange"":""K30:K50"",""yValsRange"":""L30:L50"",""lci"":-0.2011,""uci"":0.2011,""minLag"":0,""maxLag"":20,""xAxisTitle"":""Lag"",""yAxisTitle"":""Partial Autocorrelation"",""chartTitle"":""PACF Plot: Residual (Training)""}"</definedName>
    <definedName name="XLMPartitionAllData" localSheetId="7" hidden="1">"$C$36:$R$195"</definedName>
    <definedName name="XLMPartitionTimeVar" localSheetId="7" hidden="1">"T"</definedName>
    <definedName name="XLMPartitionTrainingData" localSheetId="7" hidden="1">"$C$37:$R$131"</definedName>
    <definedName name="XLMPartitionType" localSheetId="7" hidden="1">1</definedName>
    <definedName name="XLMPartitionValidationData" localSheetId="7" hidden="1">"$C$132:$R$195"</definedName>
    <definedName name="XLMPartitionVariableNames" localSheetId="7" hidden="1">"$C$36:$R$36"</definedName>
    <definedName name="XLMRasonModelRange" localSheetId="7" hidden="1">"CV1:CV1"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" i="73" l="1"/>
  <c r="C4" i="73"/>
  <c r="C5" i="73"/>
  <c r="C6" i="73"/>
  <c r="C7" i="73"/>
  <c r="C8" i="73"/>
  <c r="C9" i="73"/>
  <c r="C10" i="73"/>
  <c r="C11" i="73"/>
  <c r="C12" i="73"/>
  <c r="C13" i="73"/>
  <c r="C14" i="73"/>
  <c r="C15" i="73"/>
  <c r="C16" i="73"/>
  <c r="C17" i="73"/>
  <c r="C18" i="73"/>
  <c r="C19" i="73"/>
  <c r="C20" i="73"/>
  <c r="C21" i="73"/>
  <c r="C22" i="73"/>
  <c r="C23" i="73"/>
  <c r="C24" i="73"/>
  <c r="C25" i="73"/>
  <c r="C26" i="73"/>
  <c r="C27" i="73"/>
  <c r="C28" i="73"/>
  <c r="C29" i="73"/>
  <c r="C30" i="73"/>
  <c r="C31" i="73"/>
  <c r="C32" i="73"/>
  <c r="C33" i="73"/>
  <c r="C34" i="73"/>
  <c r="C35" i="73"/>
  <c r="C36" i="73"/>
  <c r="C37" i="73"/>
  <c r="C38" i="73"/>
  <c r="C39" i="73"/>
  <c r="C40" i="73"/>
  <c r="C41" i="73"/>
  <c r="C42" i="73"/>
  <c r="C43" i="73"/>
  <c r="C44" i="73"/>
  <c r="C45" i="73"/>
  <c r="C46" i="73"/>
  <c r="C47" i="73"/>
  <c r="C48" i="73"/>
  <c r="C49" i="73"/>
  <c r="C50" i="73"/>
  <c r="C51" i="73"/>
  <c r="C52" i="73"/>
  <c r="C53" i="73"/>
  <c r="C54" i="73"/>
  <c r="C55" i="73"/>
  <c r="C56" i="73"/>
  <c r="C57" i="73"/>
  <c r="C58" i="73"/>
  <c r="C59" i="73"/>
  <c r="C60" i="73"/>
  <c r="C61" i="73"/>
  <c r="C62" i="73"/>
  <c r="C63" i="73"/>
  <c r="C64" i="73"/>
  <c r="C65" i="73"/>
  <c r="C66" i="73"/>
  <c r="C67" i="73"/>
  <c r="C68" i="73"/>
  <c r="C69" i="73"/>
  <c r="C70" i="73"/>
  <c r="C71" i="73"/>
  <c r="C72" i="73"/>
  <c r="C73" i="73"/>
  <c r="C74" i="73"/>
  <c r="C75" i="73"/>
  <c r="C76" i="73"/>
  <c r="C77" i="73"/>
  <c r="C78" i="73"/>
  <c r="C79" i="73"/>
  <c r="C80" i="73"/>
  <c r="C81" i="73"/>
  <c r="C82" i="73"/>
  <c r="C83" i="73"/>
  <c r="C84" i="73"/>
  <c r="C85" i="73"/>
  <c r="C86" i="73"/>
  <c r="C87" i="73"/>
  <c r="C88" i="73"/>
  <c r="C89" i="73"/>
  <c r="C90" i="73"/>
  <c r="C91" i="73"/>
  <c r="C92" i="73"/>
  <c r="C93" i="73"/>
  <c r="C94" i="73"/>
  <c r="C95" i="73"/>
  <c r="C96" i="73"/>
  <c r="C97" i="73"/>
  <c r="C98" i="73"/>
  <c r="C99" i="73"/>
  <c r="C100" i="73"/>
  <c r="C101" i="73"/>
  <c r="C102" i="73"/>
  <c r="C103" i="73"/>
  <c r="C104" i="73"/>
  <c r="C105" i="73"/>
  <c r="C106" i="73"/>
  <c r="C107" i="73"/>
  <c r="C108" i="73"/>
  <c r="C109" i="73"/>
  <c r="C110" i="73"/>
  <c r="C111" i="73"/>
  <c r="C112" i="73"/>
  <c r="C113" i="73"/>
  <c r="C114" i="73"/>
  <c r="C115" i="73"/>
  <c r="C116" i="73"/>
  <c r="C117" i="73"/>
  <c r="C118" i="73"/>
  <c r="C119" i="73"/>
  <c r="C120" i="73"/>
  <c r="C121" i="73"/>
  <c r="C122" i="73"/>
  <c r="C123" i="73"/>
  <c r="C124" i="73"/>
  <c r="C125" i="73"/>
  <c r="C126" i="73"/>
  <c r="C127" i="73"/>
  <c r="C128" i="73"/>
  <c r="C129" i="73"/>
  <c r="C130" i="73"/>
  <c r="C131" i="73"/>
  <c r="C132" i="73"/>
  <c r="C133" i="73"/>
  <c r="C134" i="73"/>
  <c r="C135" i="73"/>
  <c r="C136" i="73"/>
  <c r="C137" i="73"/>
  <c r="C138" i="73"/>
  <c r="C139" i="73"/>
  <c r="C140" i="73"/>
  <c r="C141" i="73"/>
  <c r="C142" i="73"/>
  <c r="C143" i="73"/>
  <c r="C144" i="73"/>
  <c r="C145" i="73"/>
  <c r="C146" i="73"/>
  <c r="C147" i="73"/>
  <c r="C148" i="73"/>
  <c r="C149" i="73"/>
  <c r="C150" i="73"/>
  <c r="C151" i="73"/>
  <c r="C152" i="73"/>
  <c r="C153" i="73"/>
  <c r="C154" i="73"/>
  <c r="C155" i="73"/>
  <c r="C156" i="73"/>
  <c r="C157" i="73"/>
  <c r="C158" i="73"/>
  <c r="C159" i="73"/>
  <c r="C160" i="73"/>
  <c r="C2" i="73"/>
  <c r="C3" i="61"/>
  <c r="C4" i="61"/>
  <c r="C2" i="61"/>
  <c r="U4" i="29"/>
  <c r="V4" i="29"/>
  <c r="U5" i="29"/>
  <c r="V5" i="29"/>
  <c r="U6" i="29"/>
  <c r="V6" i="29"/>
  <c r="U7" i="29"/>
  <c r="V7" i="29"/>
  <c r="U8" i="29"/>
  <c r="V8" i="29"/>
  <c r="U9" i="29"/>
  <c r="V9" i="29"/>
  <c r="U10" i="29"/>
  <c r="V10" i="29"/>
  <c r="U11" i="29"/>
  <c r="V11" i="29"/>
  <c r="U12" i="29"/>
  <c r="V12" i="29"/>
  <c r="U13" i="29"/>
  <c r="V13" i="29"/>
  <c r="U14" i="29"/>
  <c r="V14" i="29"/>
  <c r="U15" i="29"/>
  <c r="V15" i="29"/>
  <c r="U16" i="29"/>
  <c r="V16" i="29"/>
  <c r="U17" i="29"/>
  <c r="V17" i="29"/>
  <c r="U18" i="29"/>
  <c r="V18" i="29"/>
  <c r="U19" i="29"/>
  <c r="V19" i="29"/>
  <c r="U20" i="29"/>
  <c r="V20" i="29"/>
  <c r="U21" i="29"/>
  <c r="V21" i="29"/>
  <c r="U22" i="29"/>
  <c r="V22" i="29"/>
  <c r="U23" i="29"/>
  <c r="V23" i="29"/>
  <c r="U24" i="29"/>
  <c r="V24" i="29"/>
  <c r="U25" i="29"/>
  <c r="V25" i="29"/>
  <c r="U26" i="29"/>
  <c r="V26" i="29"/>
  <c r="U27" i="29"/>
  <c r="V27" i="29"/>
  <c r="U28" i="29"/>
  <c r="V28" i="29"/>
  <c r="U29" i="29"/>
  <c r="V29" i="29"/>
  <c r="U30" i="29"/>
  <c r="V30" i="29"/>
  <c r="U31" i="29"/>
  <c r="V31" i="29"/>
  <c r="U32" i="29"/>
  <c r="V32" i="29"/>
  <c r="U33" i="29"/>
  <c r="V33" i="29"/>
  <c r="U34" i="29"/>
  <c r="V34" i="29"/>
  <c r="U35" i="29"/>
  <c r="V35" i="29"/>
  <c r="U36" i="29"/>
  <c r="V36" i="29"/>
  <c r="U37" i="29"/>
  <c r="V37" i="29"/>
  <c r="U38" i="29"/>
  <c r="V38" i="29"/>
  <c r="U39" i="29"/>
  <c r="V39" i="29"/>
  <c r="U40" i="29"/>
  <c r="V40" i="29"/>
  <c r="U41" i="29"/>
  <c r="V41" i="29"/>
  <c r="U42" i="29"/>
  <c r="V42" i="29"/>
  <c r="U43" i="29"/>
  <c r="V43" i="29"/>
  <c r="U44" i="29"/>
  <c r="V44" i="29"/>
  <c r="U45" i="29"/>
  <c r="V45" i="29"/>
  <c r="U46" i="29"/>
  <c r="V46" i="29"/>
  <c r="U47" i="29"/>
  <c r="V47" i="29"/>
  <c r="U48" i="29"/>
  <c r="V48" i="29"/>
  <c r="U49" i="29"/>
  <c r="V49" i="29"/>
  <c r="U50" i="29"/>
  <c r="V50" i="29"/>
  <c r="U51" i="29"/>
  <c r="V51" i="29"/>
  <c r="U52" i="29"/>
  <c r="V52" i="29"/>
  <c r="U53" i="29"/>
  <c r="V53" i="29"/>
  <c r="U54" i="29"/>
  <c r="V54" i="29"/>
  <c r="U55" i="29"/>
  <c r="V55" i="29"/>
  <c r="U56" i="29"/>
  <c r="V56" i="29"/>
  <c r="U57" i="29"/>
  <c r="V57" i="29"/>
  <c r="U58" i="29"/>
  <c r="V58" i="29"/>
  <c r="U59" i="29"/>
  <c r="V59" i="29"/>
  <c r="U60" i="29"/>
  <c r="V60" i="29"/>
  <c r="U61" i="29"/>
  <c r="V61" i="29"/>
  <c r="U62" i="29"/>
  <c r="V62" i="29"/>
  <c r="U63" i="29"/>
  <c r="V63" i="29"/>
  <c r="U64" i="29"/>
  <c r="V64" i="29"/>
  <c r="U65" i="29"/>
  <c r="V65" i="29"/>
  <c r="U66" i="29"/>
  <c r="V66" i="29"/>
  <c r="U67" i="29"/>
  <c r="V67" i="29"/>
  <c r="U68" i="29"/>
  <c r="V68" i="29"/>
  <c r="U69" i="29"/>
  <c r="V69" i="29"/>
  <c r="U70" i="29"/>
  <c r="V70" i="29"/>
  <c r="U71" i="29"/>
  <c r="V71" i="29"/>
  <c r="U72" i="29"/>
  <c r="V72" i="29"/>
  <c r="U73" i="29"/>
  <c r="V73" i="29"/>
  <c r="U74" i="29"/>
  <c r="V74" i="29"/>
  <c r="U75" i="29"/>
  <c r="V75" i="29"/>
  <c r="U76" i="29"/>
  <c r="V76" i="29"/>
  <c r="U77" i="29"/>
  <c r="V77" i="29"/>
  <c r="U78" i="29"/>
  <c r="V78" i="29"/>
  <c r="U79" i="29"/>
  <c r="V79" i="29"/>
  <c r="U80" i="29"/>
  <c r="V80" i="29"/>
  <c r="U81" i="29"/>
  <c r="V81" i="29"/>
  <c r="U82" i="29"/>
  <c r="V82" i="29"/>
  <c r="U83" i="29"/>
  <c r="V83" i="29"/>
  <c r="U84" i="29"/>
  <c r="V84" i="29"/>
  <c r="U85" i="29"/>
  <c r="V85" i="29"/>
  <c r="U86" i="29"/>
  <c r="V86" i="29"/>
  <c r="U87" i="29"/>
  <c r="V87" i="29"/>
  <c r="U88" i="29"/>
  <c r="V88" i="29"/>
  <c r="U89" i="29"/>
  <c r="V89" i="29"/>
  <c r="U90" i="29"/>
  <c r="V90" i="29"/>
  <c r="U91" i="29"/>
  <c r="V91" i="29"/>
  <c r="U92" i="29"/>
  <c r="V92" i="29"/>
  <c r="U93" i="29"/>
  <c r="V93" i="29"/>
  <c r="U94" i="29"/>
  <c r="V94" i="29"/>
  <c r="U95" i="29"/>
  <c r="V95" i="29"/>
  <c r="U96" i="29"/>
  <c r="V96" i="29"/>
  <c r="U97" i="29"/>
  <c r="V97" i="29"/>
  <c r="U98" i="29"/>
  <c r="V98" i="29"/>
  <c r="U99" i="29"/>
  <c r="V99" i="29"/>
  <c r="U100" i="29"/>
  <c r="V100" i="29"/>
  <c r="U101" i="29"/>
  <c r="V101" i="29"/>
  <c r="U102" i="29"/>
  <c r="V102" i="29"/>
  <c r="U103" i="29"/>
  <c r="V103" i="29"/>
  <c r="U104" i="29"/>
  <c r="V104" i="29"/>
  <c r="U105" i="29"/>
  <c r="V105" i="29"/>
  <c r="U106" i="29"/>
  <c r="V106" i="29"/>
  <c r="U107" i="29"/>
  <c r="V107" i="29"/>
  <c r="U108" i="29"/>
  <c r="V108" i="29"/>
  <c r="U109" i="29"/>
  <c r="V109" i="29"/>
  <c r="U110" i="29"/>
  <c r="V110" i="29"/>
  <c r="U111" i="29"/>
  <c r="V111" i="29"/>
  <c r="U112" i="29"/>
  <c r="V112" i="29"/>
  <c r="U113" i="29"/>
  <c r="V113" i="29"/>
  <c r="U114" i="29"/>
  <c r="V114" i="29"/>
  <c r="U115" i="29"/>
  <c r="V115" i="29"/>
  <c r="U116" i="29"/>
  <c r="V116" i="29"/>
  <c r="U117" i="29"/>
  <c r="V117" i="29"/>
  <c r="U118" i="29"/>
  <c r="V118" i="29"/>
  <c r="U119" i="29"/>
  <c r="V119" i="29"/>
  <c r="U120" i="29"/>
  <c r="V120" i="29"/>
  <c r="U121" i="29"/>
  <c r="V121" i="29"/>
  <c r="U122" i="29"/>
  <c r="V122" i="29"/>
  <c r="U123" i="29"/>
  <c r="V123" i="29"/>
  <c r="U124" i="29"/>
  <c r="V124" i="29"/>
  <c r="U125" i="29"/>
  <c r="V125" i="29"/>
  <c r="U126" i="29"/>
  <c r="V126" i="29"/>
  <c r="U127" i="29"/>
  <c r="V127" i="29"/>
  <c r="U128" i="29"/>
  <c r="V128" i="29"/>
  <c r="U129" i="29"/>
  <c r="V129" i="29"/>
  <c r="U130" i="29"/>
  <c r="V130" i="29"/>
  <c r="U131" i="29"/>
  <c r="V131" i="29"/>
  <c r="U132" i="29"/>
  <c r="V132" i="29"/>
  <c r="U133" i="29"/>
  <c r="V133" i="29"/>
  <c r="U134" i="29"/>
  <c r="V134" i="29"/>
  <c r="U135" i="29"/>
  <c r="V135" i="29"/>
  <c r="U136" i="29"/>
  <c r="V136" i="29"/>
  <c r="U137" i="29"/>
  <c r="V137" i="29"/>
  <c r="U138" i="29"/>
  <c r="V138" i="29"/>
  <c r="U139" i="29"/>
  <c r="V139" i="29"/>
  <c r="U140" i="29"/>
  <c r="V140" i="29"/>
  <c r="U141" i="29"/>
  <c r="V141" i="29"/>
  <c r="U142" i="29"/>
  <c r="V142" i="29"/>
  <c r="U143" i="29"/>
  <c r="V143" i="29"/>
  <c r="U144" i="29"/>
  <c r="V144" i="29"/>
  <c r="U145" i="29"/>
  <c r="V145" i="29"/>
  <c r="U146" i="29"/>
  <c r="V146" i="29"/>
  <c r="U147" i="29"/>
  <c r="V147" i="29"/>
  <c r="U148" i="29"/>
  <c r="V148" i="29"/>
  <c r="U149" i="29"/>
  <c r="V149" i="29"/>
  <c r="U150" i="29"/>
  <c r="V150" i="29"/>
  <c r="U151" i="29"/>
  <c r="V151" i="29"/>
  <c r="U152" i="29"/>
  <c r="V152" i="29"/>
  <c r="U153" i="29"/>
  <c r="V153" i="29"/>
  <c r="U154" i="29"/>
  <c r="V154" i="29"/>
  <c r="U155" i="29"/>
  <c r="V155" i="29"/>
  <c r="U156" i="29"/>
  <c r="V156" i="29"/>
  <c r="U157" i="29"/>
  <c r="V157" i="29"/>
  <c r="U158" i="29"/>
  <c r="V158" i="29"/>
  <c r="U159" i="29"/>
  <c r="V159" i="29"/>
  <c r="U160" i="29"/>
  <c r="V160" i="29"/>
  <c r="U161" i="29"/>
  <c r="V161" i="29"/>
  <c r="V3" i="29"/>
  <c r="U3" i="29"/>
  <c r="D4" i="29"/>
  <c r="D5" i="29"/>
  <c r="D6" i="29"/>
  <c r="D7" i="29"/>
  <c r="D8" i="29"/>
  <c r="D9" i="29"/>
  <c r="D10" i="29"/>
  <c r="D11" i="29"/>
  <c r="D12" i="29"/>
  <c r="D13" i="29"/>
  <c r="D14" i="29"/>
  <c r="D15" i="29"/>
  <c r="D16" i="29"/>
  <c r="D17" i="29"/>
  <c r="D18" i="29"/>
  <c r="D19" i="29"/>
  <c r="D20" i="29"/>
  <c r="D21" i="29"/>
  <c r="D22" i="29"/>
  <c r="D23" i="29"/>
  <c r="D24" i="29"/>
  <c r="D25" i="29"/>
  <c r="D26" i="29"/>
  <c r="D27" i="29"/>
  <c r="D28" i="29"/>
  <c r="D29" i="29"/>
  <c r="D30" i="29"/>
  <c r="D31" i="29"/>
  <c r="D32" i="29"/>
  <c r="D33" i="29"/>
  <c r="D34" i="29"/>
  <c r="D35" i="29"/>
  <c r="D36" i="29"/>
  <c r="D37" i="29"/>
  <c r="D38" i="29"/>
  <c r="D39" i="29"/>
  <c r="D40" i="29"/>
  <c r="D41" i="29"/>
  <c r="D42" i="29"/>
  <c r="D43" i="29"/>
  <c r="D44" i="29"/>
  <c r="D45" i="29"/>
  <c r="D46" i="29"/>
  <c r="D47" i="29"/>
  <c r="D48" i="29"/>
  <c r="D49" i="29"/>
  <c r="D50" i="29"/>
  <c r="D51" i="29"/>
  <c r="D52" i="29"/>
  <c r="D53" i="29"/>
  <c r="D54" i="29"/>
  <c r="D55" i="29"/>
  <c r="D56" i="29"/>
  <c r="D57" i="29"/>
  <c r="D58" i="29"/>
  <c r="D59" i="29"/>
  <c r="D60" i="29"/>
  <c r="D61" i="29"/>
  <c r="D62" i="29"/>
  <c r="D63" i="29"/>
  <c r="D64" i="29"/>
  <c r="D65" i="29"/>
  <c r="D66" i="29"/>
  <c r="D67" i="29"/>
  <c r="D68" i="29"/>
  <c r="D69" i="29"/>
  <c r="D70" i="29"/>
  <c r="D71" i="29"/>
  <c r="D72" i="29"/>
  <c r="D73" i="29"/>
  <c r="D74" i="29"/>
  <c r="D75" i="29"/>
  <c r="D76" i="29"/>
  <c r="D77" i="29"/>
  <c r="D78" i="29"/>
  <c r="D79" i="29"/>
  <c r="D80" i="29"/>
  <c r="D81" i="29"/>
  <c r="D82" i="29"/>
  <c r="D83" i="29"/>
  <c r="D84" i="29"/>
  <c r="D85" i="29"/>
  <c r="D86" i="29"/>
  <c r="D87" i="29"/>
  <c r="D88" i="29"/>
  <c r="D89" i="29"/>
  <c r="D90" i="29"/>
  <c r="D91" i="29"/>
  <c r="D92" i="29"/>
  <c r="D93" i="29"/>
  <c r="D94" i="29"/>
  <c r="D95" i="29"/>
  <c r="D96" i="29"/>
  <c r="D97" i="29"/>
  <c r="D98" i="29"/>
  <c r="D99" i="29"/>
  <c r="D100" i="29"/>
  <c r="D101" i="29"/>
  <c r="D102" i="29"/>
  <c r="D103" i="29"/>
  <c r="D104" i="29"/>
  <c r="D105" i="29"/>
  <c r="D106" i="29"/>
  <c r="D107" i="29"/>
  <c r="D108" i="29"/>
  <c r="D109" i="29"/>
  <c r="D110" i="29"/>
  <c r="D111" i="29"/>
  <c r="D112" i="29"/>
  <c r="D113" i="29"/>
  <c r="D114" i="29"/>
  <c r="D115" i="29"/>
  <c r="D116" i="29"/>
  <c r="D117" i="29"/>
  <c r="D118" i="29"/>
  <c r="D119" i="29"/>
  <c r="D120" i="29"/>
  <c r="D121" i="29"/>
  <c r="D122" i="29"/>
  <c r="D123" i="29"/>
  <c r="D124" i="29"/>
  <c r="D125" i="29"/>
  <c r="D126" i="29"/>
  <c r="D127" i="29"/>
  <c r="D128" i="29"/>
  <c r="D129" i="29"/>
  <c r="D130" i="29"/>
  <c r="D131" i="29"/>
  <c r="D132" i="29"/>
  <c r="D133" i="29"/>
  <c r="D134" i="29"/>
  <c r="D135" i="29"/>
  <c r="D136" i="29"/>
  <c r="D137" i="29"/>
  <c r="D138" i="29"/>
  <c r="D139" i="29"/>
  <c r="D140" i="29"/>
  <c r="D141" i="29"/>
  <c r="D142" i="29"/>
  <c r="D143" i="29"/>
  <c r="D144" i="29"/>
  <c r="D145" i="29"/>
  <c r="D146" i="29"/>
  <c r="D147" i="29"/>
  <c r="D148" i="29"/>
  <c r="D149" i="29"/>
  <c r="D150" i="29"/>
  <c r="D151" i="29"/>
  <c r="D152" i="29"/>
  <c r="D153" i="29"/>
  <c r="D154" i="29"/>
  <c r="D155" i="29"/>
  <c r="D156" i="29"/>
  <c r="D157" i="29"/>
  <c r="D158" i="29"/>
  <c r="D159" i="29"/>
  <c r="D160" i="29"/>
  <c r="D161" i="29"/>
  <c r="D3" i="29"/>
  <c r="E4" i="29"/>
  <c r="E5" i="29"/>
  <c r="E6" i="29"/>
  <c r="E7" i="29"/>
  <c r="E8" i="29"/>
  <c r="E9" i="29"/>
  <c r="E10" i="29"/>
  <c r="E11" i="29"/>
  <c r="E12" i="29"/>
  <c r="E13" i="29"/>
  <c r="E14" i="29"/>
  <c r="E15" i="29"/>
  <c r="E16" i="29"/>
  <c r="E17" i="29"/>
  <c r="E18" i="29"/>
  <c r="E19" i="29"/>
  <c r="E20" i="29"/>
  <c r="E21" i="29"/>
  <c r="E22" i="29"/>
  <c r="E23" i="29"/>
  <c r="E24" i="29"/>
  <c r="E25" i="29"/>
  <c r="E26" i="29"/>
  <c r="E27" i="29"/>
  <c r="E28" i="29"/>
  <c r="E29" i="29"/>
  <c r="E30" i="29"/>
  <c r="E31" i="29"/>
  <c r="E32" i="29"/>
  <c r="E33" i="29"/>
  <c r="E34" i="29"/>
  <c r="E35" i="29"/>
  <c r="E36" i="29"/>
  <c r="E37" i="29"/>
  <c r="E38" i="29"/>
  <c r="E39" i="29"/>
  <c r="E40" i="29"/>
  <c r="E41" i="29"/>
  <c r="E42" i="29"/>
  <c r="E43" i="29"/>
  <c r="E44" i="29"/>
  <c r="E45" i="29"/>
  <c r="E46" i="29"/>
  <c r="E47" i="29"/>
  <c r="E48" i="29"/>
  <c r="E49" i="29"/>
  <c r="E50" i="29"/>
  <c r="E51" i="29"/>
  <c r="E52" i="29"/>
  <c r="E53" i="29"/>
  <c r="E54" i="29"/>
  <c r="E55" i="29"/>
  <c r="E56" i="29"/>
  <c r="E57" i="29"/>
  <c r="E58" i="29"/>
  <c r="E59" i="29"/>
  <c r="E60" i="29"/>
  <c r="E61" i="29"/>
  <c r="E62" i="29"/>
  <c r="E63" i="29"/>
  <c r="E64" i="29"/>
  <c r="E65" i="29"/>
  <c r="E66" i="29"/>
  <c r="E67" i="29"/>
  <c r="E68" i="29"/>
  <c r="E69" i="29"/>
  <c r="E70" i="29"/>
  <c r="E71" i="29"/>
  <c r="E72" i="29"/>
  <c r="E73" i="29"/>
  <c r="E74" i="29"/>
  <c r="E75" i="29"/>
  <c r="E76" i="29"/>
  <c r="E77" i="29"/>
  <c r="E78" i="29"/>
  <c r="E79" i="29"/>
  <c r="E80" i="29"/>
  <c r="E81" i="29"/>
  <c r="E82" i="29"/>
  <c r="E83" i="29"/>
  <c r="E84" i="29"/>
  <c r="E85" i="29"/>
  <c r="E86" i="29"/>
  <c r="E87" i="29"/>
  <c r="E88" i="29"/>
  <c r="E89" i="29"/>
  <c r="E90" i="29"/>
  <c r="E91" i="29"/>
  <c r="E92" i="29"/>
  <c r="E93" i="29"/>
  <c r="E94" i="29"/>
  <c r="E95" i="29"/>
  <c r="E96" i="29"/>
  <c r="E97" i="29"/>
  <c r="E98" i="29"/>
  <c r="E99" i="29"/>
  <c r="E100" i="29"/>
  <c r="E101" i="29"/>
  <c r="E102" i="29"/>
  <c r="E103" i="29"/>
  <c r="E104" i="29"/>
  <c r="E105" i="29"/>
  <c r="E106" i="29"/>
  <c r="E107" i="29"/>
  <c r="E108" i="29"/>
  <c r="E109" i="29"/>
  <c r="E110" i="29"/>
  <c r="E111" i="29"/>
  <c r="E112" i="29"/>
  <c r="E113" i="29"/>
  <c r="E114" i="29"/>
  <c r="E115" i="29"/>
  <c r="E116" i="29"/>
  <c r="E117" i="29"/>
  <c r="E118" i="29"/>
  <c r="E119" i="29"/>
  <c r="E120" i="29"/>
  <c r="E121" i="29"/>
  <c r="E122" i="29"/>
  <c r="E123" i="29"/>
  <c r="E124" i="29"/>
  <c r="E125" i="29"/>
  <c r="E126" i="29"/>
  <c r="E127" i="29"/>
  <c r="E128" i="29"/>
  <c r="E129" i="29"/>
  <c r="E130" i="29"/>
  <c r="E131" i="29"/>
  <c r="E132" i="29"/>
  <c r="E133" i="29"/>
  <c r="E134" i="29"/>
  <c r="E135" i="29"/>
  <c r="E136" i="29"/>
  <c r="E137" i="29"/>
  <c r="E138" i="29"/>
  <c r="E139" i="29"/>
  <c r="E140" i="29"/>
  <c r="E141" i="29"/>
  <c r="E142" i="29"/>
  <c r="E143" i="29"/>
  <c r="E144" i="29"/>
  <c r="E145" i="29"/>
  <c r="E146" i="29"/>
  <c r="E147" i="29"/>
  <c r="E148" i="29"/>
  <c r="E149" i="29"/>
  <c r="E150" i="29"/>
  <c r="E151" i="29"/>
  <c r="E152" i="29"/>
  <c r="E153" i="29"/>
  <c r="E154" i="29"/>
  <c r="E155" i="29"/>
  <c r="E156" i="29"/>
  <c r="E157" i="29"/>
  <c r="E158" i="29"/>
  <c r="E159" i="29"/>
  <c r="E160" i="29"/>
  <c r="E161" i="29"/>
  <c r="E3" i="29"/>
  <c r="T4" i="29"/>
  <c r="T5" i="29"/>
  <c r="T6" i="29"/>
  <c r="T7" i="29"/>
  <c r="T8" i="29"/>
  <c r="T9" i="29"/>
  <c r="T10" i="29"/>
  <c r="T11" i="29"/>
  <c r="T12" i="29"/>
  <c r="T13" i="29"/>
  <c r="T14" i="29"/>
  <c r="T15" i="29"/>
  <c r="T16" i="29"/>
  <c r="T17" i="29"/>
  <c r="T18" i="29"/>
  <c r="T19" i="29"/>
  <c r="T20" i="29"/>
  <c r="T21" i="29"/>
  <c r="T22" i="29"/>
  <c r="T23" i="29"/>
  <c r="T24" i="29"/>
  <c r="T25" i="29"/>
  <c r="T26" i="29"/>
  <c r="T27" i="29"/>
  <c r="T28" i="29"/>
  <c r="T29" i="29"/>
  <c r="T30" i="29"/>
  <c r="T31" i="29"/>
  <c r="T32" i="29"/>
  <c r="T33" i="29"/>
  <c r="T34" i="29"/>
  <c r="T35" i="29"/>
  <c r="T36" i="29"/>
  <c r="T37" i="29"/>
  <c r="T38" i="29"/>
  <c r="T39" i="29"/>
  <c r="T40" i="29"/>
  <c r="T41" i="29"/>
  <c r="T42" i="29"/>
  <c r="T43" i="29"/>
  <c r="T44" i="29"/>
  <c r="T45" i="29"/>
  <c r="T46" i="29"/>
  <c r="T47" i="29"/>
  <c r="T48" i="29"/>
  <c r="T49" i="29"/>
  <c r="T50" i="29"/>
  <c r="T51" i="29"/>
  <c r="T52" i="29"/>
  <c r="T53" i="29"/>
  <c r="T54" i="29"/>
  <c r="T55" i="29"/>
  <c r="T56" i="29"/>
  <c r="T57" i="29"/>
  <c r="T58" i="29"/>
  <c r="T59" i="29"/>
  <c r="T60" i="29"/>
  <c r="T61" i="29"/>
  <c r="T62" i="29"/>
  <c r="T63" i="29"/>
  <c r="T64" i="29"/>
  <c r="T65" i="29"/>
  <c r="T66" i="29"/>
  <c r="T67" i="29"/>
  <c r="T68" i="29"/>
  <c r="T69" i="29"/>
  <c r="T70" i="29"/>
  <c r="T71" i="29"/>
  <c r="T72" i="29"/>
  <c r="T73" i="29"/>
  <c r="T74" i="29"/>
  <c r="T75" i="29"/>
  <c r="T76" i="29"/>
  <c r="T77" i="29"/>
  <c r="T78" i="29"/>
  <c r="T79" i="29"/>
  <c r="T80" i="29"/>
  <c r="T81" i="29"/>
  <c r="T82" i="29"/>
  <c r="T83" i="29"/>
  <c r="T84" i="29"/>
  <c r="T85" i="29"/>
  <c r="T86" i="29"/>
  <c r="T87" i="29"/>
  <c r="T88" i="29"/>
  <c r="T89" i="29"/>
  <c r="T90" i="29"/>
  <c r="T91" i="29"/>
  <c r="T92" i="29"/>
  <c r="T93" i="29"/>
  <c r="T94" i="29"/>
  <c r="T95" i="29"/>
  <c r="T96" i="29"/>
  <c r="T97" i="29"/>
  <c r="T98" i="29"/>
  <c r="T99" i="29"/>
  <c r="T100" i="29"/>
  <c r="T101" i="29"/>
  <c r="T102" i="29"/>
  <c r="T103" i="29"/>
  <c r="T104" i="29"/>
  <c r="T105" i="29"/>
  <c r="T106" i="29"/>
  <c r="T107" i="29"/>
  <c r="T108" i="29"/>
  <c r="T109" i="29"/>
  <c r="T110" i="29"/>
  <c r="T111" i="29"/>
  <c r="T112" i="29"/>
  <c r="T113" i="29"/>
  <c r="T114" i="29"/>
  <c r="T115" i="29"/>
  <c r="T116" i="29"/>
  <c r="T117" i="29"/>
  <c r="T118" i="29"/>
  <c r="T119" i="29"/>
  <c r="T120" i="29"/>
  <c r="T121" i="29"/>
  <c r="T122" i="29"/>
  <c r="T123" i="29"/>
  <c r="T124" i="29"/>
  <c r="T125" i="29"/>
  <c r="T126" i="29"/>
  <c r="T127" i="29"/>
  <c r="T128" i="29"/>
  <c r="T129" i="29"/>
  <c r="T130" i="29"/>
  <c r="T131" i="29"/>
  <c r="T132" i="29"/>
  <c r="T133" i="29"/>
  <c r="T134" i="29"/>
  <c r="T135" i="29"/>
  <c r="T136" i="29"/>
  <c r="T137" i="29"/>
  <c r="T138" i="29"/>
  <c r="T139" i="29"/>
  <c r="T140" i="29"/>
  <c r="T141" i="29"/>
  <c r="T142" i="29"/>
  <c r="T143" i="29"/>
  <c r="T144" i="29"/>
  <c r="T145" i="29"/>
  <c r="T146" i="29"/>
  <c r="T147" i="29"/>
  <c r="T148" i="29"/>
  <c r="T149" i="29"/>
  <c r="T150" i="29"/>
  <c r="T151" i="29"/>
  <c r="T152" i="29"/>
  <c r="T153" i="29"/>
  <c r="T154" i="29"/>
  <c r="T155" i="29"/>
  <c r="T156" i="29"/>
  <c r="T157" i="29"/>
  <c r="T158" i="29"/>
  <c r="T159" i="29"/>
  <c r="T160" i="29"/>
  <c r="T161" i="29"/>
  <c r="T3" i="29"/>
  <c r="S4" i="29"/>
  <c r="S5" i="29"/>
  <c r="S6" i="29"/>
  <c r="S7" i="29"/>
  <c r="S8" i="29"/>
  <c r="S9" i="29"/>
  <c r="S10" i="29"/>
  <c r="S11" i="29"/>
  <c r="S12" i="29"/>
  <c r="S13" i="29"/>
  <c r="S14" i="29"/>
  <c r="S15" i="29"/>
  <c r="S16" i="29"/>
  <c r="S17" i="29"/>
  <c r="S18" i="29"/>
  <c r="S19" i="29"/>
  <c r="S20" i="29"/>
  <c r="S21" i="29"/>
  <c r="S22" i="29"/>
  <c r="S23" i="29"/>
  <c r="S24" i="29"/>
  <c r="S25" i="29"/>
  <c r="S26" i="29"/>
  <c r="S27" i="29"/>
  <c r="S28" i="29"/>
  <c r="S29" i="29"/>
  <c r="S30" i="29"/>
  <c r="S31" i="29"/>
  <c r="S32" i="29"/>
  <c r="S33" i="29"/>
  <c r="S34" i="29"/>
  <c r="S35" i="29"/>
  <c r="S36" i="29"/>
  <c r="S37" i="29"/>
  <c r="S38" i="29"/>
  <c r="S39" i="29"/>
  <c r="S40" i="29"/>
  <c r="S41" i="29"/>
  <c r="S42" i="29"/>
  <c r="S43" i="29"/>
  <c r="S44" i="29"/>
  <c r="S45" i="29"/>
  <c r="S46" i="29"/>
  <c r="S47" i="29"/>
  <c r="S48" i="29"/>
  <c r="S49" i="29"/>
  <c r="S50" i="29"/>
  <c r="S51" i="29"/>
  <c r="S52" i="29"/>
  <c r="S53" i="29"/>
  <c r="S54" i="29"/>
  <c r="S55" i="29"/>
  <c r="S56" i="29"/>
  <c r="S57" i="29"/>
  <c r="S58" i="29"/>
  <c r="S59" i="29"/>
  <c r="S60" i="29"/>
  <c r="S61" i="29"/>
  <c r="S62" i="29"/>
  <c r="S63" i="29"/>
  <c r="S64" i="29"/>
  <c r="S65" i="29"/>
  <c r="S66" i="29"/>
  <c r="S67" i="29"/>
  <c r="S68" i="29"/>
  <c r="S69" i="29"/>
  <c r="S70" i="29"/>
  <c r="S71" i="29"/>
  <c r="S72" i="29"/>
  <c r="S73" i="29"/>
  <c r="S74" i="29"/>
  <c r="S75" i="29"/>
  <c r="S76" i="29"/>
  <c r="S77" i="29"/>
  <c r="S78" i="29"/>
  <c r="S79" i="29"/>
  <c r="S80" i="29"/>
  <c r="S81" i="29"/>
  <c r="S82" i="29"/>
  <c r="S83" i="29"/>
  <c r="S84" i="29"/>
  <c r="S85" i="29"/>
  <c r="S86" i="29"/>
  <c r="S87" i="29"/>
  <c r="S88" i="29"/>
  <c r="S89" i="29"/>
  <c r="S90" i="29"/>
  <c r="S91" i="29"/>
  <c r="S92" i="29"/>
  <c r="S93" i="29"/>
  <c r="S94" i="29"/>
  <c r="S95" i="29"/>
  <c r="S96" i="29"/>
  <c r="S97" i="29"/>
  <c r="S98" i="29"/>
  <c r="S99" i="29"/>
  <c r="S100" i="29"/>
  <c r="S101" i="29"/>
  <c r="S102" i="29"/>
  <c r="S103" i="29"/>
  <c r="S104" i="29"/>
  <c r="S105" i="29"/>
  <c r="S106" i="29"/>
  <c r="S107" i="29"/>
  <c r="S108" i="29"/>
  <c r="S109" i="29"/>
  <c r="S110" i="29"/>
  <c r="S111" i="29"/>
  <c r="S112" i="29"/>
  <c r="S113" i="29"/>
  <c r="S114" i="29"/>
  <c r="S115" i="29"/>
  <c r="S116" i="29"/>
  <c r="S117" i="29"/>
  <c r="S118" i="29"/>
  <c r="S119" i="29"/>
  <c r="S120" i="29"/>
  <c r="S121" i="29"/>
  <c r="S122" i="29"/>
  <c r="S123" i="29"/>
  <c r="S124" i="29"/>
  <c r="S125" i="29"/>
  <c r="S126" i="29"/>
  <c r="S127" i="29"/>
  <c r="S128" i="29"/>
  <c r="S129" i="29"/>
  <c r="S130" i="29"/>
  <c r="S131" i="29"/>
  <c r="S132" i="29"/>
  <c r="S133" i="29"/>
  <c r="S134" i="29"/>
  <c r="S135" i="29"/>
  <c r="S136" i="29"/>
  <c r="S137" i="29"/>
  <c r="S138" i="29"/>
  <c r="S139" i="29"/>
  <c r="S140" i="29"/>
  <c r="S141" i="29"/>
  <c r="S142" i="29"/>
  <c r="S143" i="29"/>
  <c r="S144" i="29"/>
  <c r="S145" i="29"/>
  <c r="S146" i="29"/>
  <c r="S147" i="29"/>
  <c r="S148" i="29"/>
  <c r="S149" i="29"/>
  <c r="S150" i="29"/>
  <c r="S151" i="29"/>
  <c r="S152" i="29"/>
  <c r="S153" i="29"/>
  <c r="S154" i="29"/>
  <c r="S155" i="29"/>
  <c r="S156" i="29"/>
  <c r="S157" i="29"/>
  <c r="S158" i="29"/>
  <c r="S159" i="29"/>
  <c r="S160" i="29"/>
  <c r="S161" i="29"/>
  <c r="S3" i="29"/>
  <c r="F4" i="29"/>
  <c r="F5" i="29"/>
  <c r="F6" i="29"/>
  <c r="F7" i="29"/>
  <c r="F8" i="29"/>
  <c r="F9" i="29"/>
  <c r="F10" i="29"/>
  <c r="F11" i="29"/>
  <c r="F12" i="29"/>
  <c r="F13" i="29"/>
  <c r="F14" i="29"/>
  <c r="F15" i="29"/>
  <c r="F16" i="29"/>
  <c r="F17" i="29"/>
  <c r="F18" i="29"/>
  <c r="F19" i="29"/>
  <c r="F20" i="29"/>
  <c r="F21" i="29"/>
  <c r="F22" i="29"/>
  <c r="F23" i="29"/>
  <c r="F24" i="29"/>
  <c r="F25" i="29"/>
  <c r="M25" i="29" s="1"/>
  <c r="F26" i="29"/>
  <c r="F27" i="29"/>
  <c r="F28" i="29"/>
  <c r="F29" i="29"/>
  <c r="F30" i="29"/>
  <c r="F31" i="29"/>
  <c r="F32" i="29"/>
  <c r="F33" i="29"/>
  <c r="F34" i="29"/>
  <c r="F35" i="29"/>
  <c r="F36" i="29"/>
  <c r="F37" i="29"/>
  <c r="F38" i="29"/>
  <c r="F39" i="29"/>
  <c r="F40" i="29"/>
  <c r="F41" i="29"/>
  <c r="F42" i="29"/>
  <c r="F43" i="29"/>
  <c r="F44" i="29"/>
  <c r="F45" i="29"/>
  <c r="F46" i="29"/>
  <c r="Q46" i="29" s="1"/>
  <c r="F47" i="29"/>
  <c r="F48" i="29"/>
  <c r="F49" i="29"/>
  <c r="F50" i="29"/>
  <c r="F51" i="29"/>
  <c r="F52" i="29"/>
  <c r="F53" i="29"/>
  <c r="F54" i="29"/>
  <c r="F55" i="29"/>
  <c r="F56" i="29"/>
  <c r="F57" i="29"/>
  <c r="F58" i="29"/>
  <c r="F59" i="29"/>
  <c r="F60" i="29"/>
  <c r="F61" i="29"/>
  <c r="F62" i="29"/>
  <c r="F63" i="29"/>
  <c r="F64" i="29"/>
  <c r="F65" i="29"/>
  <c r="F66" i="29"/>
  <c r="F67" i="29"/>
  <c r="F68" i="29"/>
  <c r="F69" i="29"/>
  <c r="F70" i="29"/>
  <c r="F71" i="29"/>
  <c r="F72" i="29"/>
  <c r="H72" i="29" s="1"/>
  <c r="F73" i="29"/>
  <c r="F74" i="29"/>
  <c r="P74" i="29" s="1"/>
  <c r="F75" i="29"/>
  <c r="F76" i="29"/>
  <c r="F77" i="29"/>
  <c r="F78" i="29"/>
  <c r="F79" i="29"/>
  <c r="F80" i="29"/>
  <c r="H80" i="29" s="1"/>
  <c r="F81" i="29"/>
  <c r="F82" i="29"/>
  <c r="F83" i="29"/>
  <c r="F84" i="29"/>
  <c r="F85" i="29"/>
  <c r="F86" i="29"/>
  <c r="F87" i="29"/>
  <c r="F88" i="29"/>
  <c r="H88" i="29" s="1"/>
  <c r="F89" i="29"/>
  <c r="F90" i="29"/>
  <c r="F91" i="29"/>
  <c r="F92" i="29"/>
  <c r="F93" i="29"/>
  <c r="F94" i="29"/>
  <c r="F95" i="29"/>
  <c r="F96" i="29"/>
  <c r="H96" i="29" s="1"/>
  <c r="F97" i="29"/>
  <c r="F98" i="29"/>
  <c r="P98" i="29" s="1"/>
  <c r="F99" i="29"/>
  <c r="F100" i="29"/>
  <c r="H100" i="29" s="1"/>
  <c r="F101" i="29"/>
  <c r="F102" i="29"/>
  <c r="F103" i="29"/>
  <c r="H103" i="29" s="1"/>
  <c r="F104" i="29"/>
  <c r="G104" i="29" s="1"/>
  <c r="F105" i="29"/>
  <c r="M105" i="29" s="1"/>
  <c r="F106" i="29"/>
  <c r="J106" i="29" s="1"/>
  <c r="F107" i="29"/>
  <c r="G107" i="29" s="1"/>
  <c r="F108" i="29"/>
  <c r="F109" i="29"/>
  <c r="F110" i="29"/>
  <c r="H110" i="29" s="1"/>
  <c r="F111" i="29"/>
  <c r="G111" i="29" s="1"/>
  <c r="F112" i="29"/>
  <c r="H112" i="29" s="1"/>
  <c r="F113" i="29"/>
  <c r="F114" i="29"/>
  <c r="J114" i="29" s="1"/>
  <c r="F115" i="29"/>
  <c r="F116" i="29"/>
  <c r="K116" i="29" s="1"/>
  <c r="F117" i="29"/>
  <c r="F118" i="29"/>
  <c r="K118" i="29" s="1"/>
  <c r="F119" i="29"/>
  <c r="G119" i="29" s="1"/>
  <c r="F120" i="29"/>
  <c r="R120" i="29" s="1"/>
  <c r="F121" i="29"/>
  <c r="G121" i="29" s="1"/>
  <c r="F122" i="29"/>
  <c r="H122" i="29" s="1"/>
  <c r="F123" i="29"/>
  <c r="L123" i="29" s="1"/>
  <c r="F124" i="29"/>
  <c r="F125" i="29"/>
  <c r="N125" i="29" s="1"/>
  <c r="F126" i="29"/>
  <c r="H126" i="29" s="1"/>
  <c r="F127" i="29"/>
  <c r="O127" i="29" s="1"/>
  <c r="F128" i="29"/>
  <c r="H128" i="29" s="1"/>
  <c r="F129" i="29"/>
  <c r="G129" i="29" s="1"/>
  <c r="F130" i="29"/>
  <c r="J130" i="29" s="1"/>
  <c r="F131" i="29"/>
  <c r="F132" i="29"/>
  <c r="K132" i="29" s="1"/>
  <c r="F133" i="29"/>
  <c r="F134" i="29"/>
  <c r="N134" i="29" s="1"/>
  <c r="F135" i="29"/>
  <c r="H135" i="29" s="1"/>
  <c r="F136" i="29"/>
  <c r="N136" i="29" s="1"/>
  <c r="F137" i="29"/>
  <c r="N137" i="29" s="1"/>
  <c r="F138" i="29"/>
  <c r="N138" i="29" s="1"/>
  <c r="F139" i="29"/>
  <c r="K139" i="29" s="1"/>
  <c r="F140" i="29"/>
  <c r="N140" i="29" s="1"/>
  <c r="F141" i="29"/>
  <c r="G141" i="29" s="1"/>
  <c r="F142" i="29"/>
  <c r="N142" i="29" s="1"/>
  <c r="F143" i="29"/>
  <c r="M143" i="29" s="1"/>
  <c r="F144" i="29"/>
  <c r="N144" i="29" s="1"/>
  <c r="F145" i="29"/>
  <c r="I145" i="29" s="1"/>
  <c r="F146" i="29"/>
  <c r="N146" i="29" s="1"/>
  <c r="F147" i="29"/>
  <c r="I147" i="29" s="1"/>
  <c r="F148" i="29"/>
  <c r="M148" i="29" s="1"/>
  <c r="F149" i="29"/>
  <c r="I149" i="29" s="1"/>
  <c r="F150" i="29"/>
  <c r="M150" i="29" s="1"/>
  <c r="F151" i="29"/>
  <c r="I151" i="29" s="1"/>
  <c r="F152" i="29"/>
  <c r="M152" i="29" s="1"/>
  <c r="F153" i="29"/>
  <c r="I153" i="29" s="1"/>
  <c r="F154" i="29"/>
  <c r="M154" i="29" s="1"/>
  <c r="F155" i="29"/>
  <c r="I155" i="29" s="1"/>
  <c r="F156" i="29"/>
  <c r="M156" i="29" s="1"/>
  <c r="F157" i="29"/>
  <c r="I157" i="29" s="1"/>
  <c r="F158" i="29"/>
  <c r="M158" i="29" s="1"/>
  <c r="F159" i="29"/>
  <c r="I159" i="29" s="1"/>
  <c r="F160" i="29"/>
  <c r="M160" i="29" s="1"/>
  <c r="F161" i="29"/>
  <c r="I161" i="29" s="1"/>
  <c r="G3" i="29"/>
  <c r="F3" i="29"/>
  <c r="L3" i="29" s="1"/>
  <c r="J6" i="29" l="1"/>
  <c r="R6" i="29"/>
  <c r="K6" i="29"/>
  <c r="L6" i="29"/>
  <c r="M6" i="29"/>
  <c r="N6" i="29"/>
  <c r="G6" i="29"/>
  <c r="O6" i="29"/>
  <c r="H6" i="29"/>
  <c r="P6" i="29"/>
  <c r="I6" i="29"/>
  <c r="Q6" i="29"/>
  <c r="M3" i="29"/>
  <c r="P161" i="29"/>
  <c r="H161" i="29"/>
  <c r="L160" i="29"/>
  <c r="P159" i="29"/>
  <c r="H159" i="29"/>
  <c r="L158" i="29"/>
  <c r="P157" i="29"/>
  <c r="H157" i="29"/>
  <c r="L156" i="29"/>
  <c r="P155" i="29"/>
  <c r="H155" i="29"/>
  <c r="L154" i="29"/>
  <c r="P153" i="29"/>
  <c r="H153" i="29"/>
  <c r="L152" i="29"/>
  <c r="P151" i="29"/>
  <c r="H151" i="29"/>
  <c r="L150" i="29"/>
  <c r="P149" i="29"/>
  <c r="H149" i="29"/>
  <c r="L148" i="29"/>
  <c r="P147" i="29"/>
  <c r="H147" i="29"/>
  <c r="K146" i="29"/>
  <c r="N145" i="29"/>
  <c r="Q144" i="29"/>
  <c r="H144" i="29"/>
  <c r="K143" i="29"/>
  <c r="M142" i="29"/>
  <c r="P141" i="29"/>
  <c r="J140" i="29"/>
  <c r="M139" i="29"/>
  <c r="P138" i="29"/>
  <c r="G138" i="29"/>
  <c r="I137" i="29"/>
  <c r="L136" i="29"/>
  <c r="O135" i="29"/>
  <c r="R134" i="29"/>
  <c r="I134" i="29"/>
  <c r="P132" i="29"/>
  <c r="R130" i="29"/>
  <c r="L127" i="29"/>
  <c r="O123" i="29"/>
  <c r="J120" i="29"/>
  <c r="P116" i="29"/>
  <c r="R114" i="29"/>
  <c r="P112" i="29"/>
  <c r="L118" i="29"/>
  <c r="M118" i="29"/>
  <c r="N118" i="29"/>
  <c r="G118" i="29"/>
  <c r="O118" i="29"/>
  <c r="I118" i="29"/>
  <c r="Q118" i="29"/>
  <c r="J14" i="29"/>
  <c r="R14" i="29"/>
  <c r="K14" i="29"/>
  <c r="L14" i="29"/>
  <c r="M14" i="29"/>
  <c r="N14" i="29"/>
  <c r="G14" i="29"/>
  <c r="O14" i="29"/>
  <c r="H14" i="29"/>
  <c r="P14" i="29"/>
  <c r="I14" i="29"/>
  <c r="Q14" i="29"/>
  <c r="J141" i="29"/>
  <c r="R141" i="29"/>
  <c r="H133" i="29"/>
  <c r="P133" i="29"/>
  <c r="I133" i="29"/>
  <c r="Q133" i="29"/>
  <c r="J133" i="29"/>
  <c r="R133" i="29"/>
  <c r="K133" i="29"/>
  <c r="M133" i="29"/>
  <c r="H125" i="29"/>
  <c r="P125" i="29"/>
  <c r="I125" i="29"/>
  <c r="Q125" i="29"/>
  <c r="J125" i="29"/>
  <c r="R125" i="29"/>
  <c r="K125" i="29"/>
  <c r="M125" i="29"/>
  <c r="H117" i="29"/>
  <c r="P117" i="29"/>
  <c r="I117" i="29"/>
  <c r="Q117" i="29"/>
  <c r="J117" i="29"/>
  <c r="R117" i="29"/>
  <c r="K117" i="29"/>
  <c r="M117" i="29"/>
  <c r="I109" i="29"/>
  <c r="Q109" i="29"/>
  <c r="O109" i="29"/>
  <c r="G109" i="29"/>
  <c r="P109" i="29"/>
  <c r="H109" i="29"/>
  <c r="R109" i="29"/>
  <c r="J109" i="29"/>
  <c r="L109" i="29"/>
  <c r="M109" i="29"/>
  <c r="I101" i="29"/>
  <c r="Q101" i="29"/>
  <c r="J101" i="29"/>
  <c r="M101" i="29"/>
  <c r="O101" i="29"/>
  <c r="P101" i="29"/>
  <c r="R101" i="29"/>
  <c r="G101" i="29"/>
  <c r="H101" i="29"/>
  <c r="L101" i="29"/>
  <c r="N101" i="29"/>
  <c r="G93" i="29"/>
  <c r="O93" i="29"/>
  <c r="H93" i="29"/>
  <c r="P93" i="29"/>
  <c r="I93" i="29"/>
  <c r="Q93" i="29"/>
  <c r="J93" i="29"/>
  <c r="R93" i="29"/>
  <c r="K93" i="29"/>
  <c r="M93" i="29"/>
  <c r="N93" i="29"/>
  <c r="G85" i="29"/>
  <c r="O85" i="29"/>
  <c r="H85" i="29"/>
  <c r="P85" i="29"/>
  <c r="I85" i="29"/>
  <c r="Q85" i="29"/>
  <c r="J85" i="29"/>
  <c r="R85" i="29"/>
  <c r="K85" i="29"/>
  <c r="M85" i="29"/>
  <c r="N85" i="29"/>
  <c r="G77" i="29"/>
  <c r="O77" i="29"/>
  <c r="H77" i="29"/>
  <c r="P77" i="29"/>
  <c r="I77" i="29"/>
  <c r="Q77" i="29"/>
  <c r="J77" i="29"/>
  <c r="R77" i="29"/>
  <c r="K77" i="29"/>
  <c r="M77" i="29"/>
  <c r="N77" i="29"/>
  <c r="G69" i="29"/>
  <c r="O69" i="29"/>
  <c r="H69" i="29"/>
  <c r="P69" i="29"/>
  <c r="I69" i="29"/>
  <c r="Q69" i="29"/>
  <c r="J69" i="29"/>
  <c r="R69" i="29"/>
  <c r="K69" i="29"/>
  <c r="M69" i="29"/>
  <c r="N69" i="29"/>
  <c r="G61" i="29"/>
  <c r="O61" i="29"/>
  <c r="H61" i="29"/>
  <c r="P61" i="29"/>
  <c r="I61" i="29"/>
  <c r="Q61" i="29"/>
  <c r="J61" i="29"/>
  <c r="R61" i="29"/>
  <c r="K61" i="29"/>
  <c r="M61" i="29"/>
  <c r="N61" i="29"/>
  <c r="N53" i="29"/>
  <c r="G53" i="29"/>
  <c r="O53" i="29"/>
  <c r="H53" i="29"/>
  <c r="P53" i="29"/>
  <c r="I53" i="29"/>
  <c r="Q53" i="29"/>
  <c r="J53" i="29"/>
  <c r="R53" i="29"/>
  <c r="K53" i="29"/>
  <c r="L53" i="29"/>
  <c r="M53" i="29"/>
  <c r="N45" i="29"/>
  <c r="G45" i="29"/>
  <c r="O45" i="29"/>
  <c r="H45" i="29"/>
  <c r="P45" i="29"/>
  <c r="I45" i="29"/>
  <c r="Q45" i="29"/>
  <c r="J45" i="29"/>
  <c r="R45" i="29"/>
  <c r="K45" i="29"/>
  <c r="L45" i="29"/>
  <c r="M45" i="29"/>
  <c r="N37" i="29"/>
  <c r="G37" i="29"/>
  <c r="O37" i="29"/>
  <c r="H37" i="29"/>
  <c r="P37" i="29"/>
  <c r="I37" i="29"/>
  <c r="Q37" i="29"/>
  <c r="J37" i="29"/>
  <c r="R37" i="29"/>
  <c r="K37" i="29"/>
  <c r="L37" i="29"/>
  <c r="M37" i="29"/>
  <c r="N29" i="29"/>
  <c r="G29" i="29"/>
  <c r="O29" i="29"/>
  <c r="H29" i="29"/>
  <c r="P29" i="29"/>
  <c r="I29" i="29"/>
  <c r="Q29" i="29"/>
  <c r="J29" i="29"/>
  <c r="R29" i="29"/>
  <c r="K29" i="29"/>
  <c r="L29" i="29"/>
  <c r="M29" i="29"/>
  <c r="N21" i="29"/>
  <c r="G21" i="29"/>
  <c r="O21" i="29"/>
  <c r="H21" i="29"/>
  <c r="P21" i="29"/>
  <c r="I21" i="29"/>
  <c r="Q21" i="29"/>
  <c r="J21" i="29"/>
  <c r="R21" i="29"/>
  <c r="K21" i="29"/>
  <c r="L21" i="29"/>
  <c r="M21" i="29"/>
  <c r="N13" i="29"/>
  <c r="G13" i="29"/>
  <c r="O13" i="29"/>
  <c r="H13" i="29"/>
  <c r="P13" i="29"/>
  <c r="I13" i="29"/>
  <c r="Q13" i="29"/>
  <c r="J13" i="29"/>
  <c r="R13" i="29"/>
  <c r="K13" i="29"/>
  <c r="L13" i="29"/>
  <c r="M13" i="29"/>
  <c r="N5" i="29"/>
  <c r="G5" i="29"/>
  <c r="O5" i="29"/>
  <c r="H5" i="29"/>
  <c r="P5" i="29"/>
  <c r="I5" i="29"/>
  <c r="Q5" i="29"/>
  <c r="J5" i="29"/>
  <c r="R5" i="29"/>
  <c r="K5" i="29"/>
  <c r="L5" i="29"/>
  <c r="M5" i="29"/>
  <c r="N3" i="29"/>
  <c r="O161" i="29"/>
  <c r="G161" i="29"/>
  <c r="K160" i="29"/>
  <c r="O159" i="29"/>
  <c r="G159" i="29"/>
  <c r="K158" i="29"/>
  <c r="O157" i="29"/>
  <c r="G157" i="29"/>
  <c r="K156" i="29"/>
  <c r="O155" i="29"/>
  <c r="G155" i="29"/>
  <c r="K154" i="29"/>
  <c r="O153" i="29"/>
  <c r="G153" i="29"/>
  <c r="K152" i="29"/>
  <c r="O151" i="29"/>
  <c r="G151" i="29"/>
  <c r="K150" i="29"/>
  <c r="O149" i="29"/>
  <c r="G149" i="29"/>
  <c r="K148" i="29"/>
  <c r="O147" i="29"/>
  <c r="G147" i="29"/>
  <c r="J146" i="29"/>
  <c r="M145" i="29"/>
  <c r="P144" i="29"/>
  <c r="G144" i="29"/>
  <c r="I143" i="29"/>
  <c r="L142" i="29"/>
  <c r="O141" i="29"/>
  <c r="R140" i="29"/>
  <c r="I140" i="29"/>
  <c r="L139" i="29"/>
  <c r="O138" i="29"/>
  <c r="Q137" i="29"/>
  <c r="H137" i="29"/>
  <c r="K136" i="29"/>
  <c r="N135" i="29"/>
  <c r="Q134" i="29"/>
  <c r="H134" i="29"/>
  <c r="P130" i="29"/>
  <c r="R128" i="29"/>
  <c r="G127" i="29"/>
  <c r="L125" i="29"/>
  <c r="N123" i="29"/>
  <c r="O121" i="29"/>
  <c r="H120" i="29"/>
  <c r="J118" i="29"/>
  <c r="P114" i="29"/>
  <c r="K112" i="29"/>
  <c r="N109" i="29"/>
  <c r="L77" i="29"/>
  <c r="M102" i="29"/>
  <c r="I102" i="29"/>
  <c r="Q102" i="29"/>
  <c r="N102" i="29"/>
  <c r="O102" i="29"/>
  <c r="P102" i="29"/>
  <c r="G102" i="29"/>
  <c r="R102" i="29"/>
  <c r="H102" i="29"/>
  <c r="K102" i="29"/>
  <c r="L102" i="29"/>
  <c r="J22" i="29"/>
  <c r="R22" i="29"/>
  <c r="K22" i="29"/>
  <c r="L22" i="29"/>
  <c r="M22" i="29"/>
  <c r="N22" i="29"/>
  <c r="G22" i="29"/>
  <c r="O22" i="29"/>
  <c r="H22" i="29"/>
  <c r="P22" i="29"/>
  <c r="I22" i="29"/>
  <c r="Q22" i="29"/>
  <c r="L132" i="29"/>
  <c r="M132" i="29"/>
  <c r="N132" i="29"/>
  <c r="G132" i="29"/>
  <c r="O132" i="29"/>
  <c r="I132" i="29"/>
  <c r="Q132" i="29"/>
  <c r="L124" i="29"/>
  <c r="M124" i="29"/>
  <c r="N124" i="29"/>
  <c r="G124" i="29"/>
  <c r="O124" i="29"/>
  <c r="I124" i="29"/>
  <c r="Q124" i="29"/>
  <c r="L116" i="29"/>
  <c r="M116" i="29"/>
  <c r="N116" i="29"/>
  <c r="G116" i="29"/>
  <c r="O116" i="29"/>
  <c r="I116" i="29"/>
  <c r="Q116" i="29"/>
  <c r="M108" i="29"/>
  <c r="I108" i="29"/>
  <c r="R108" i="29"/>
  <c r="J108" i="29"/>
  <c r="K108" i="29"/>
  <c r="L108" i="29"/>
  <c r="O108" i="29"/>
  <c r="G108" i="29"/>
  <c r="P108" i="29"/>
  <c r="M100" i="29"/>
  <c r="N100" i="29"/>
  <c r="G100" i="29"/>
  <c r="O100" i="29"/>
  <c r="I100" i="29"/>
  <c r="Q100" i="29"/>
  <c r="L100" i="29"/>
  <c r="P100" i="29"/>
  <c r="R100" i="29"/>
  <c r="J100" i="29"/>
  <c r="K100" i="29"/>
  <c r="K92" i="29"/>
  <c r="L92" i="29"/>
  <c r="M92" i="29"/>
  <c r="N92" i="29"/>
  <c r="G92" i="29"/>
  <c r="O92" i="29"/>
  <c r="I92" i="29"/>
  <c r="Q92" i="29"/>
  <c r="H92" i="29"/>
  <c r="J92" i="29"/>
  <c r="P92" i="29"/>
  <c r="R92" i="29"/>
  <c r="K84" i="29"/>
  <c r="L84" i="29"/>
  <c r="M84" i="29"/>
  <c r="N84" i="29"/>
  <c r="G84" i="29"/>
  <c r="O84" i="29"/>
  <c r="I84" i="29"/>
  <c r="Q84" i="29"/>
  <c r="H84" i="29"/>
  <c r="J84" i="29"/>
  <c r="P84" i="29"/>
  <c r="R84" i="29"/>
  <c r="K76" i="29"/>
  <c r="L76" i="29"/>
  <c r="M76" i="29"/>
  <c r="N76" i="29"/>
  <c r="G76" i="29"/>
  <c r="O76" i="29"/>
  <c r="I76" i="29"/>
  <c r="Q76" i="29"/>
  <c r="H76" i="29"/>
  <c r="J76" i="29"/>
  <c r="P76" i="29"/>
  <c r="R76" i="29"/>
  <c r="K68" i="29"/>
  <c r="L68" i="29"/>
  <c r="M68" i="29"/>
  <c r="N68" i="29"/>
  <c r="G68" i="29"/>
  <c r="O68" i="29"/>
  <c r="I68" i="29"/>
  <c r="Q68" i="29"/>
  <c r="H68" i="29"/>
  <c r="J68" i="29"/>
  <c r="P68" i="29"/>
  <c r="R68" i="29"/>
  <c r="J60" i="29"/>
  <c r="L60" i="29"/>
  <c r="M60" i="29"/>
  <c r="G60" i="29"/>
  <c r="H60" i="29"/>
  <c r="I60" i="29"/>
  <c r="K60" i="29"/>
  <c r="N60" i="29"/>
  <c r="O60" i="29"/>
  <c r="Q60" i="29"/>
  <c r="P60" i="29"/>
  <c r="R60" i="29"/>
  <c r="J52" i="29"/>
  <c r="R52" i="29"/>
  <c r="K52" i="29"/>
  <c r="L52" i="29"/>
  <c r="M52" i="29"/>
  <c r="N52" i="29"/>
  <c r="G52" i="29"/>
  <c r="O52" i="29"/>
  <c r="H52" i="29"/>
  <c r="P52" i="29"/>
  <c r="Q52" i="29"/>
  <c r="I52" i="29"/>
  <c r="J44" i="29"/>
  <c r="R44" i="29"/>
  <c r="K44" i="29"/>
  <c r="L44" i="29"/>
  <c r="M44" i="29"/>
  <c r="N44" i="29"/>
  <c r="G44" i="29"/>
  <c r="O44" i="29"/>
  <c r="H44" i="29"/>
  <c r="P44" i="29"/>
  <c r="I44" i="29"/>
  <c r="Q44" i="29"/>
  <c r="J36" i="29"/>
  <c r="R36" i="29"/>
  <c r="K36" i="29"/>
  <c r="L36" i="29"/>
  <c r="M36" i="29"/>
  <c r="N36" i="29"/>
  <c r="G36" i="29"/>
  <c r="O36" i="29"/>
  <c r="H36" i="29"/>
  <c r="P36" i="29"/>
  <c r="Q36" i="29"/>
  <c r="I36" i="29"/>
  <c r="J28" i="29"/>
  <c r="R28" i="29"/>
  <c r="K28" i="29"/>
  <c r="L28" i="29"/>
  <c r="M28" i="29"/>
  <c r="N28" i="29"/>
  <c r="G28" i="29"/>
  <c r="O28" i="29"/>
  <c r="H28" i="29"/>
  <c r="P28" i="29"/>
  <c r="I28" i="29"/>
  <c r="Q28" i="29"/>
  <c r="J20" i="29"/>
  <c r="R20" i="29"/>
  <c r="K20" i="29"/>
  <c r="L20" i="29"/>
  <c r="M20" i="29"/>
  <c r="N20" i="29"/>
  <c r="G20" i="29"/>
  <c r="O20" i="29"/>
  <c r="H20" i="29"/>
  <c r="P20" i="29"/>
  <c r="Q20" i="29"/>
  <c r="I20" i="29"/>
  <c r="J12" i="29"/>
  <c r="R12" i="29"/>
  <c r="K12" i="29"/>
  <c r="L12" i="29"/>
  <c r="M12" i="29"/>
  <c r="N12" i="29"/>
  <c r="G12" i="29"/>
  <c r="O12" i="29"/>
  <c r="H12" i="29"/>
  <c r="P12" i="29"/>
  <c r="I12" i="29"/>
  <c r="Q12" i="29"/>
  <c r="J4" i="29"/>
  <c r="R4" i="29"/>
  <c r="K4" i="29"/>
  <c r="L4" i="29"/>
  <c r="M4" i="29"/>
  <c r="N4" i="29"/>
  <c r="G4" i="29"/>
  <c r="O4" i="29"/>
  <c r="H4" i="29"/>
  <c r="P4" i="29"/>
  <c r="Q4" i="29"/>
  <c r="O3" i="29"/>
  <c r="N161" i="29"/>
  <c r="R160" i="29"/>
  <c r="J160" i="29"/>
  <c r="N159" i="29"/>
  <c r="R158" i="29"/>
  <c r="J158" i="29"/>
  <c r="N157" i="29"/>
  <c r="R156" i="29"/>
  <c r="J156" i="29"/>
  <c r="N155" i="29"/>
  <c r="R154" i="29"/>
  <c r="J154" i="29"/>
  <c r="N153" i="29"/>
  <c r="R152" i="29"/>
  <c r="J152" i="29"/>
  <c r="N151" i="29"/>
  <c r="R150" i="29"/>
  <c r="J150" i="29"/>
  <c r="N149" i="29"/>
  <c r="R148" i="29"/>
  <c r="J148" i="29"/>
  <c r="N147" i="29"/>
  <c r="R146" i="29"/>
  <c r="I146" i="29"/>
  <c r="L145" i="29"/>
  <c r="O144" i="29"/>
  <c r="Q143" i="29"/>
  <c r="H143" i="29"/>
  <c r="K142" i="29"/>
  <c r="N141" i="29"/>
  <c r="Q140" i="29"/>
  <c r="H140" i="29"/>
  <c r="M138" i="29"/>
  <c r="P137" i="29"/>
  <c r="G137" i="29"/>
  <c r="J136" i="29"/>
  <c r="M135" i="29"/>
  <c r="P134" i="29"/>
  <c r="G134" i="29"/>
  <c r="J132" i="29"/>
  <c r="K130" i="29"/>
  <c r="P128" i="29"/>
  <c r="R126" i="29"/>
  <c r="G125" i="29"/>
  <c r="N121" i="29"/>
  <c r="O119" i="29"/>
  <c r="H118" i="29"/>
  <c r="J116" i="29"/>
  <c r="K114" i="29"/>
  <c r="K109" i="29"/>
  <c r="I4" i="29"/>
  <c r="J30" i="29"/>
  <c r="R30" i="29"/>
  <c r="K30" i="29"/>
  <c r="L30" i="29"/>
  <c r="M30" i="29"/>
  <c r="N30" i="29"/>
  <c r="G30" i="29"/>
  <c r="O30" i="29"/>
  <c r="H30" i="29"/>
  <c r="P30" i="29"/>
  <c r="I30" i="29"/>
  <c r="Q30" i="29"/>
  <c r="J139" i="29"/>
  <c r="R139" i="29"/>
  <c r="H131" i="29"/>
  <c r="P131" i="29"/>
  <c r="I131" i="29"/>
  <c r="Q131" i="29"/>
  <c r="J131" i="29"/>
  <c r="R131" i="29"/>
  <c r="K131" i="29"/>
  <c r="M131" i="29"/>
  <c r="H123" i="29"/>
  <c r="P123" i="29"/>
  <c r="I123" i="29"/>
  <c r="Q123" i="29"/>
  <c r="J123" i="29"/>
  <c r="R123" i="29"/>
  <c r="K123" i="29"/>
  <c r="M123" i="29"/>
  <c r="H115" i="29"/>
  <c r="P115" i="29"/>
  <c r="I115" i="29"/>
  <c r="Q115" i="29"/>
  <c r="J115" i="29"/>
  <c r="R115" i="29"/>
  <c r="K115" i="29"/>
  <c r="M115" i="29"/>
  <c r="I107" i="29"/>
  <c r="Q107" i="29"/>
  <c r="L107" i="29"/>
  <c r="M107" i="29"/>
  <c r="N107" i="29"/>
  <c r="O107" i="29"/>
  <c r="H107" i="29"/>
  <c r="R107" i="29"/>
  <c r="J107" i="29"/>
  <c r="I99" i="29"/>
  <c r="Q99" i="29"/>
  <c r="J99" i="29"/>
  <c r="R99" i="29"/>
  <c r="K99" i="29"/>
  <c r="M99" i="29"/>
  <c r="H99" i="29"/>
  <c r="L99" i="29"/>
  <c r="N99" i="29"/>
  <c r="O99" i="29"/>
  <c r="P99" i="29"/>
  <c r="G99" i="29"/>
  <c r="G91" i="29"/>
  <c r="O91" i="29"/>
  <c r="H91" i="29"/>
  <c r="P91" i="29"/>
  <c r="I91" i="29"/>
  <c r="Q91" i="29"/>
  <c r="J91" i="29"/>
  <c r="R91" i="29"/>
  <c r="K91" i="29"/>
  <c r="M91" i="29"/>
  <c r="N91" i="29"/>
  <c r="L91" i="29"/>
  <c r="G83" i="29"/>
  <c r="O83" i="29"/>
  <c r="H83" i="29"/>
  <c r="P83" i="29"/>
  <c r="I83" i="29"/>
  <c r="Q83" i="29"/>
  <c r="J83" i="29"/>
  <c r="R83" i="29"/>
  <c r="K83" i="29"/>
  <c r="M83" i="29"/>
  <c r="N83" i="29"/>
  <c r="L83" i="29"/>
  <c r="G75" i="29"/>
  <c r="O75" i="29"/>
  <c r="H75" i="29"/>
  <c r="P75" i="29"/>
  <c r="I75" i="29"/>
  <c r="Q75" i="29"/>
  <c r="J75" i="29"/>
  <c r="R75" i="29"/>
  <c r="K75" i="29"/>
  <c r="M75" i="29"/>
  <c r="N75" i="29"/>
  <c r="L75" i="29"/>
  <c r="G67" i="29"/>
  <c r="O67" i="29"/>
  <c r="H67" i="29"/>
  <c r="P67" i="29"/>
  <c r="I67" i="29"/>
  <c r="Q67" i="29"/>
  <c r="J67" i="29"/>
  <c r="R67" i="29"/>
  <c r="K67" i="29"/>
  <c r="M67" i="29"/>
  <c r="N67" i="29"/>
  <c r="L67" i="29"/>
  <c r="N59" i="29"/>
  <c r="G59" i="29"/>
  <c r="O59" i="29"/>
  <c r="H59" i="29"/>
  <c r="P59" i="29"/>
  <c r="I59" i="29"/>
  <c r="Q59" i="29"/>
  <c r="J59" i="29"/>
  <c r="R59" i="29"/>
  <c r="K59" i="29"/>
  <c r="L59" i="29"/>
  <c r="M59" i="29"/>
  <c r="N51" i="29"/>
  <c r="G51" i="29"/>
  <c r="O51" i="29"/>
  <c r="H51" i="29"/>
  <c r="P51" i="29"/>
  <c r="I51" i="29"/>
  <c r="Q51" i="29"/>
  <c r="J51" i="29"/>
  <c r="R51" i="29"/>
  <c r="K51" i="29"/>
  <c r="L51" i="29"/>
  <c r="M51" i="29"/>
  <c r="N43" i="29"/>
  <c r="G43" i="29"/>
  <c r="O43" i="29"/>
  <c r="H43" i="29"/>
  <c r="P43" i="29"/>
  <c r="I43" i="29"/>
  <c r="Q43" i="29"/>
  <c r="J43" i="29"/>
  <c r="R43" i="29"/>
  <c r="K43" i="29"/>
  <c r="L43" i="29"/>
  <c r="M43" i="29"/>
  <c r="N35" i="29"/>
  <c r="G35" i="29"/>
  <c r="O35" i="29"/>
  <c r="H35" i="29"/>
  <c r="P35" i="29"/>
  <c r="I35" i="29"/>
  <c r="Q35" i="29"/>
  <c r="J35" i="29"/>
  <c r="R35" i="29"/>
  <c r="K35" i="29"/>
  <c r="L35" i="29"/>
  <c r="M35" i="29"/>
  <c r="N27" i="29"/>
  <c r="G27" i="29"/>
  <c r="O27" i="29"/>
  <c r="H27" i="29"/>
  <c r="P27" i="29"/>
  <c r="I27" i="29"/>
  <c r="Q27" i="29"/>
  <c r="J27" i="29"/>
  <c r="R27" i="29"/>
  <c r="K27" i="29"/>
  <c r="L27" i="29"/>
  <c r="M27" i="29"/>
  <c r="N19" i="29"/>
  <c r="G19" i="29"/>
  <c r="O19" i="29"/>
  <c r="H19" i="29"/>
  <c r="P19" i="29"/>
  <c r="I19" i="29"/>
  <c r="Q19" i="29"/>
  <c r="J19" i="29"/>
  <c r="R19" i="29"/>
  <c r="K19" i="29"/>
  <c r="L19" i="29"/>
  <c r="M19" i="29"/>
  <c r="N11" i="29"/>
  <c r="G11" i="29"/>
  <c r="O11" i="29"/>
  <c r="H11" i="29"/>
  <c r="P11" i="29"/>
  <c r="I11" i="29"/>
  <c r="Q11" i="29"/>
  <c r="J11" i="29"/>
  <c r="R11" i="29"/>
  <c r="K11" i="29"/>
  <c r="L11" i="29"/>
  <c r="M11" i="29"/>
  <c r="H3" i="29"/>
  <c r="P3" i="29"/>
  <c r="M161" i="29"/>
  <c r="Q160" i="29"/>
  <c r="I160" i="29"/>
  <c r="M159" i="29"/>
  <c r="Q158" i="29"/>
  <c r="I158" i="29"/>
  <c r="M157" i="29"/>
  <c r="Q156" i="29"/>
  <c r="I156" i="29"/>
  <c r="M155" i="29"/>
  <c r="Q154" i="29"/>
  <c r="I154" i="29"/>
  <c r="M153" i="29"/>
  <c r="Q152" i="29"/>
  <c r="I152" i="29"/>
  <c r="M151" i="29"/>
  <c r="Q150" i="29"/>
  <c r="I150" i="29"/>
  <c r="M149" i="29"/>
  <c r="Q148" i="29"/>
  <c r="I148" i="29"/>
  <c r="M147" i="29"/>
  <c r="Q146" i="29"/>
  <c r="H146" i="29"/>
  <c r="K145" i="29"/>
  <c r="M144" i="29"/>
  <c r="P143" i="29"/>
  <c r="G143" i="29"/>
  <c r="J142" i="29"/>
  <c r="M141" i="29"/>
  <c r="P140" i="29"/>
  <c r="G140" i="29"/>
  <c r="I139" i="29"/>
  <c r="L138" i="29"/>
  <c r="O137" i="29"/>
  <c r="R136" i="29"/>
  <c r="I136" i="29"/>
  <c r="L135" i="29"/>
  <c r="O134" i="29"/>
  <c r="O133" i="29"/>
  <c r="H132" i="29"/>
  <c r="K128" i="29"/>
  <c r="P126" i="29"/>
  <c r="R124" i="29"/>
  <c r="G123" i="29"/>
  <c r="L121" i="29"/>
  <c r="N119" i="29"/>
  <c r="O117" i="29"/>
  <c r="H116" i="29"/>
  <c r="O111" i="29"/>
  <c r="Q108" i="29"/>
  <c r="P104" i="29"/>
  <c r="L93" i="29"/>
  <c r="K86" i="29"/>
  <c r="L86" i="29"/>
  <c r="M86" i="29"/>
  <c r="N86" i="29"/>
  <c r="G86" i="29"/>
  <c r="O86" i="29"/>
  <c r="I86" i="29"/>
  <c r="Q86" i="29"/>
  <c r="J86" i="29"/>
  <c r="P86" i="29"/>
  <c r="R86" i="29"/>
  <c r="H86" i="29"/>
  <c r="J46" i="29"/>
  <c r="R46" i="29"/>
  <c r="K46" i="29"/>
  <c r="L46" i="29"/>
  <c r="M46" i="29"/>
  <c r="N46" i="29"/>
  <c r="G46" i="29"/>
  <c r="O46" i="29"/>
  <c r="H46" i="29"/>
  <c r="P46" i="29"/>
  <c r="I46" i="29"/>
  <c r="L130" i="29"/>
  <c r="M130" i="29"/>
  <c r="N130" i="29"/>
  <c r="G130" i="29"/>
  <c r="O130" i="29"/>
  <c r="I130" i="29"/>
  <c r="Q130" i="29"/>
  <c r="L122" i="29"/>
  <c r="M122" i="29"/>
  <c r="N122" i="29"/>
  <c r="G122" i="29"/>
  <c r="O122" i="29"/>
  <c r="I122" i="29"/>
  <c r="Q122" i="29"/>
  <c r="L114" i="29"/>
  <c r="M114" i="29"/>
  <c r="N114" i="29"/>
  <c r="G114" i="29"/>
  <c r="O114" i="29"/>
  <c r="I114" i="29"/>
  <c r="Q114" i="29"/>
  <c r="M106" i="29"/>
  <c r="N106" i="29"/>
  <c r="O106" i="29"/>
  <c r="G106" i="29"/>
  <c r="P106" i="29"/>
  <c r="H106" i="29"/>
  <c r="Q106" i="29"/>
  <c r="I106" i="29"/>
  <c r="R106" i="29"/>
  <c r="K106" i="29"/>
  <c r="L106" i="29"/>
  <c r="K98" i="29"/>
  <c r="L98" i="29"/>
  <c r="M98" i="29"/>
  <c r="N98" i="29"/>
  <c r="G98" i="29"/>
  <c r="O98" i="29"/>
  <c r="I98" i="29"/>
  <c r="Q98" i="29"/>
  <c r="H98" i="29"/>
  <c r="J98" i="29"/>
  <c r="R98" i="29"/>
  <c r="K90" i="29"/>
  <c r="L90" i="29"/>
  <c r="M90" i="29"/>
  <c r="N90" i="29"/>
  <c r="G90" i="29"/>
  <c r="O90" i="29"/>
  <c r="I90" i="29"/>
  <c r="Q90" i="29"/>
  <c r="H90" i="29"/>
  <c r="J90" i="29"/>
  <c r="R90" i="29"/>
  <c r="K82" i="29"/>
  <c r="L82" i="29"/>
  <c r="M82" i="29"/>
  <c r="N82" i="29"/>
  <c r="G82" i="29"/>
  <c r="O82" i="29"/>
  <c r="I82" i="29"/>
  <c r="Q82" i="29"/>
  <c r="H82" i="29"/>
  <c r="J82" i="29"/>
  <c r="R82" i="29"/>
  <c r="K74" i="29"/>
  <c r="L74" i="29"/>
  <c r="M74" i="29"/>
  <c r="N74" i="29"/>
  <c r="G74" i="29"/>
  <c r="O74" i="29"/>
  <c r="I74" i="29"/>
  <c r="Q74" i="29"/>
  <c r="H74" i="29"/>
  <c r="J74" i="29"/>
  <c r="R74" i="29"/>
  <c r="K66" i="29"/>
  <c r="L66" i="29"/>
  <c r="M66" i="29"/>
  <c r="N66" i="29"/>
  <c r="G66" i="29"/>
  <c r="O66" i="29"/>
  <c r="I66" i="29"/>
  <c r="Q66" i="29"/>
  <c r="H66" i="29"/>
  <c r="J66" i="29"/>
  <c r="R66" i="29"/>
  <c r="J58" i="29"/>
  <c r="R58" i="29"/>
  <c r="K58" i="29"/>
  <c r="L58" i="29"/>
  <c r="M58" i="29"/>
  <c r="N58" i="29"/>
  <c r="G58" i="29"/>
  <c r="O58" i="29"/>
  <c r="H58" i="29"/>
  <c r="P58" i="29"/>
  <c r="I58" i="29"/>
  <c r="Q58" i="29"/>
  <c r="J50" i="29"/>
  <c r="R50" i="29"/>
  <c r="K50" i="29"/>
  <c r="L50" i="29"/>
  <c r="M50" i="29"/>
  <c r="N50" i="29"/>
  <c r="G50" i="29"/>
  <c r="O50" i="29"/>
  <c r="H50" i="29"/>
  <c r="P50" i="29"/>
  <c r="I50" i="29"/>
  <c r="Q50" i="29"/>
  <c r="J42" i="29"/>
  <c r="R42" i="29"/>
  <c r="K42" i="29"/>
  <c r="L42" i="29"/>
  <c r="M42" i="29"/>
  <c r="N42" i="29"/>
  <c r="G42" i="29"/>
  <c r="O42" i="29"/>
  <c r="H42" i="29"/>
  <c r="P42" i="29"/>
  <c r="I42" i="29"/>
  <c r="Q42" i="29"/>
  <c r="J34" i="29"/>
  <c r="R34" i="29"/>
  <c r="K34" i="29"/>
  <c r="L34" i="29"/>
  <c r="M34" i="29"/>
  <c r="N34" i="29"/>
  <c r="G34" i="29"/>
  <c r="O34" i="29"/>
  <c r="H34" i="29"/>
  <c r="P34" i="29"/>
  <c r="I34" i="29"/>
  <c r="Q34" i="29"/>
  <c r="J26" i="29"/>
  <c r="R26" i="29"/>
  <c r="K26" i="29"/>
  <c r="L26" i="29"/>
  <c r="M26" i="29"/>
  <c r="N26" i="29"/>
  <c r="G26" i="29"/>
  <c r="O26" i="29"/>
  <c r="H26" i="29"/>
  <c r="P26" i="29"/>
  <c r="I26" i="29"/>
  <c r="Q26" i="29"/>
  <c r="J18" i="29"/>
  <c r="R18" i="29"/>
  <c r="K18" i="29"/>
  <c r="L18" i="29"/>
  <c r="M18" i="29"/>
  <c r="N18" i="29"/>
  <c r="G18" i="29"/>
  <c r="O18" i="29"/>
  <c r="H18" i="29"/>
  <c r="P18" i="29"/>
  <c r="I18" i="29"/>
  <c r="Q18" i="29"/>
  <c r="J10" i="29"/>
  <c r="R10" i="29"/>
  <c r="K10" i="29"/>
  <c r="L10" i="29"/>
  <c r="M10" i="29"/>
  <c r="N10" i="29"/>
  <c r="G10" i="29"/>
  <c r="O10" i="29"/>
  <c r="H10" i="29"/>
  <c r="P10" i="29"/>
  <c r="I10" i="29"/>
  <c r="Q10" i="29"/>
  <c r="I3" i="29"/>
  <c r="Q3" i="29"/>
  <c r="L161" i="29"/>
  <c r="P160" i="29"/>
  <c r="H160" i="29"/>
  <c r="L159" i="29"/>
  <c r="P158" i="29"/>
  <c r="H158" i="29"/>
  <c r="L157" i="29"/>
  <c r="P156" i="29"/>
  <c r="H156" i="29"/>
  <c r="L155" i="29"/>
  <c r="P154" i="29"/>
  <c r="H154" i="29"/>
  <c r="L153" i="29"/>
  <c r="P152" i="29"/>
  <c r="H152" i="29"/>
  <c r="L151" i="29"/>
  <c r="P150" i="29"/>
  <c r="H150" i="29"/>
  <c r="L149" i="29"/>
  <c r="P148" i="29"/>
  <c r="H148" i="29"/>
  <c r="L147" i="29"/>
  <c r="P146" i="29"/>
  <c r="G146" i="29"/>
  <c r="L144" i="29"/>
  <c r="O143" i="29"/>
  <c r="R142" i="29"/>
  <c r="I142" i="29"/>
  <c r="L141" i="29"/>
  <c r="O140" i="29"/>
  <c r="Q139" i="29"/>
  <c r="H139" i="29"/>
  <c r="K138" i="29"/>
  <c r="Q136" i="29"/>
  <c r="H136" i="29"/>
  <c r="K135" i="29"/>
  <c r="M134" i="29"/>
  <c r="N133" i="29"/>
  <c r="O131" i="29"/>
  <c r="H130" i="29"/>
  <c r="J128" i="29"/>
  <c r="K126" i="29"/>
  <c r="P124" i="29"/>
  <c r="R122" i="29"/>
  <c r="L119" i="29"/>
  <c r="N117" i="29"/>
  <c r="O115" i="29"/>
  <c r="H114" i="29"/>
  <c r="L111" i="29"/>
  <c r="N108" i="29"/>
  <c r="P90" i="29"/>
  <c r="L69" i="29"/>
  <c r="K94" i="29"/>
  <c r="L94" i="29"/>
  <c r="M94" i="29"/>
  <c r="N94" i="29"/>
  <c r="G94" i="29"/>
  <c r="O94" i="29"/>
  <c r="I94" i="29"/>
  <c r="Q94" i="29"/>
  <c r="J94" i="29"/>
  <c r="P94" i="29"/>
  <c r="R94" i="29"/>
  <c r="H94" i="29"/>
  <c r="J38" i="29"/>
  <c r="R38" i="29"/>
  <c r="K38" i="29"/>
  <c r="L38" i="29"/>
  <c r="M38" i="29"/>
  <c r="N38" i="29"/>
  <c r="G38" i="29"/>
  <c r="O38" i="29"/>
  <c r="H38" i="29"/>
  <c r="P38" i="29"/>
  <c r="I38" i="29"/>
  <c r="Q38" i="29"/>
  <c r="J145" i="29"/>
  <c r="R145" i="29"/>
  <c r="J137" i="29"/>
  <c r="R137" i="29"/>
  <c r="H129" i="29"/>
  <c r="P129" i="29"/>
  <c r="I129" i="29"/>
  <c r="Q129" i="29"/>
  <c r="J129" i="29"/>
  <c r="R129" i="29"/>
  <c r="K129" i="29"/>
  <c r="M129" i="29"/>
  <c r="H121" i="29"/>
  <c r="P121" i="29"/>
  <c r="I121" i="29"/>
  <c r="Q121" i="29"/>
  <c r="J121" i="29"/>
  <c r="R121" i="29"/>
  <c r="K121" i="29"/>
  <c r="M121" i="29"/>
  <c r="H113" i="29"/>
  <c r="P113" i="29"/>
  <c r="I113" i="29"/>
  <c r="Q113" i="29"/>
  <c r="J113" i="29"/>
  <c r="R113" i="29"/>
  <c r="K113" i="29"/>
  <c r="M113" i="29"/>
  <c r="N113" i="29"/>
  <c r="I105" i="29"/>
  <c r="Q105" i="29"/>
  <c r="G105" i="29"/>
  <c r="P105" i="29"/>
  <c r="H105" i="29"/>
  <c r="R105" i="29"/>
  <c r="J105" i="29"/>
  <c r="K105" i="29"/>
  <c r="L105" i="29"/>
  <c r="N105" i="29"/>
  <c r="O105" i="29"/>
  <c r="G97" i="29"/>
  <c r="O97" i="29"/>
  <c r="H97" i="29"/>
  <c r="P97" i="29"/>
  <c r="I97" i="29"/>
  <c r="Q97" i="29"/>
  <c r="J97" i="29"/>
  <c r="R97" i="29"/>
  <c r="K97" i="29"/>
  <c r="M97" i="29"/>
  <c r="L97" i="29"/>
  <c r="N97" i="29"/>
  <c r="G89" i="29"/>
  <c r="O89" i="29"/>
  <c r="H89" i="29"/>
  <c r="P89" i="29"/>
  <c r="I89" i="29"/>
  <c r="Q89" i="29"/>
  <c r="J89" i="29"/>
  <c r="R89" i="29"/>
  <c r="K89" i="29"/>
  <c r="M89" i="29"/>
  <c r="L89" i="29"/>
  <c r="N89" i="29"/>
  <c r="G81" i="29"/>
  <c r="O81" i="29"/>
  <c r="H81" i="29"/>
  <c r="P81" i="29"/>
  <c r="I81" i="29"/>
  <c r="Q81" i="29"/>
  <c r="J81" i="29"/>
  <c r="R81" i="29"/>
  <c r="K81" i="29"/>
  <c r="M81" i="29"/>
  <c r="L81" i="29"/>
  <c r="N81" i="29"/>
  <c r="G73" i="29"/>
  <c r="O73" i="29"/>
  <c r="H73" i="29"/>
  <c r="P73" i="29"/>
  <c r="I73" i="29"/>
  <c r="Q73" i="29"/>
  <c r="J73" i="29"/>
  <c r="R73" i="29"/>
  <c r="K73" i="29"/>
  <c r="M73" i="29"/>
  <c r="L73" i="29"/>
  <c r="N73" i="29"/>
  <c r="G65" i="29"/>
  <c r="O65" i="29"/>
  <c r="H65" i="29"/>
  <c r="P65" i="29"/>
  <c r="I65" i="29"/>
  <c r="Q65" i="29"/>
  <c r="J65" i="29"/>
  <c r="R65" i="29"/>
  <c r="K65" i="29"/>
  <c r="M65" i="29"/>
  <c r="L65" i="29"/>
  <c r="N65" i="29"/>
  <c r="N57" i="29"/>
  <c r="G57" i="29"/>
  <c r="O57" i="29"/>
  <c r="H57" i="29"/>
  <c r="P57" i="29"/>
  <c r="I57" i="29"/>
  <c r="Q57" i="29"/>
  <c r="J57" i="29"/>
  <c r="R57" i="29"/>
  <c r="K57" i="29"/>
  <c r="L57" i="29"/>
  <c r="M57" i="29"/>
  <c r="N49" i="29"/>
  <c r="G49" i="29"/>
  <c r="O49" i="29"/>
  <c r="H49" i="29"/>
  <c r="P49" i="29"/>
  <c r="I49" i="29"/>
  <c r="Q49" i="29"/>
  <c r="J49" i="29"/>
  <c r="R49" i="29"/>
  <c r="K49" i="29"/>
  <c r="L49" i="29"/>
  <c r="M49" i="29"/>
  <c r="N41" i="29"/>
  <c r="G41" i="29"/>
  <c r="O41" i="29"/>
  <c r="H41" i="29"/>
  <c r="P41" i="29"/>
  <c r="I41" i="29"/>
  <c r="Q41" i="29"/>
  <c r="J41" i="29"/>
  <c r="R41" i="29"/>
  <c r="K41" i="29"/>
  <c r="L41" i="29"/>
  <c r="M41" i="29"/>
  <c r="N33" i="29"/>
  <c r="G33" i="29"/>
  <c r="O33" i="29"/>
  <c r="H33" i="29"/>
  <c r="P33" i="29"/>
  <c r="I33" i="29"/>
  <c r="Q33" i="29"/>
  <c r="J33" i="29"/>
  <c r="R33" i="29"/>
  <c r="K33" i="29"/>
  <c r="L33" i="29"/>
  <c r="M33" i="29"/>
  <c r="N25" i="29"/>
  <c r="G25" i="29"/>
  <c r="O25" i="29"/>
  <c r="H25" i="29"/>
  <c r="P25" i="29"/>
  <c r="I25" i="29"/>
  <c r="Q25" i="29"/>
  <c r="J25" i="29"/>
  <c r="R25" i="29"/>
  <c r="K25" i="29"/>
  <c r="L25" i="29"/>
  <c r="N17" i="29"/>
  <c r="G17" i="29"/>
  <c r="O17" i="29"/>
  <c r="H17" i="29"/>
  <c r="P17" i="29"/>
  <c r="I17" i="29"/>
  <c r="Q17" i="29"/>
  <c r="J17" i="29"/>
  <c r="R17" i="29"/>
  <c r="K17" i="29"/>
  <c r="L17" i="29"/>
  <c r="M17" i="29"/>
  <c r="N9" i="29"/>
  <c r="G9" i="29"/>
  <c r="O9" i="29"/>
  <c r="H9" i="29"/>
  <c r="P9" i="29"/>
  <c r="I9" i="29"/>
  <c r="Q9" i="29"/>
  <c r="J9" i="29"/>
  <c r="R9" i="29"/>
  <c r="K9" i="29"/>
  <c r="L9" i="29"/>
  <c r="M9" i="29"/>
  <c r="J3" i="29"/>
  <c r="R3" i="29"/>
  <c r="K161" i="29"/>
  <c r="O160" i="29"/>
  <c r="G160" i="29"/>
  <c r="K159" i="29"/>
  <c r="O158" i="29"/>
  <c r="G158" i="29"/>
  <c r="K157" i="29"/>
  <c r="O156" i="29"/>
  <c r="G156" i="29"/>
  <c r="K155" i="29"/>
  <c r="O154" i="29"/>
  <c r="G154" i="29"/>
  <c r="K153" i="29"/>
  <c r="O152" i="29"/>
  <c r="G152" i="29"/>
  <c r="K151" i="29"/>
  <c r="O150" i="29"/>
  <c r="G150" i="29"/>
  <c r="K149" i="29"/>
  <c r="O148" i="29"/>
  <c r="G148" i="29"/>
  <c r="K147" i="29"/>
  <c r="O146" i="29"/>
  <c r="Q145" i="29"/>
  <c r="H145" i="29"/>
  <c r="K144" i="29"/>
  <c r="N143" i="29"/>
  <c r="Q142" i="29"/>
  <c r="H142" i="29"/>
  <c r="K141" i="29"/>
  <c r="M140" i="29"/>
  <c r="P139" i="29"/>
  <c r="G139" i="29"/>
  <c r="J138" i="29"/>
  <c r="M137" i="29"/>
  <c r="P136" i="29"/>
  <c r="G136" i="29"/>
  <c r="I135" i="29"/>
  <c r="L134" i="29"/>
  <c r="L133" i="29"/>
  <c r="N131" i="29"/>
  <c r="O129" i="29"/>
  <c r="J126" i="29"/>
  <c r="K124" i="29"/>
  <c r="P122" i="29"/>
  <c r="L117" i="29"/>
  <c r="N115" i="29"/>
  <c r="O113" i="29"/>
  <c r="H108" i="29"/>
  <c r="P66" i="29"/>
  <c r="L110" i="29"/>
  <c r="M110" i="29"/>
  <c r="N110" i="29"/>
  <c r="G110" i="29"/>
  <c r="O110" i="29"/>
  <c r="I110" i="29"/>
  <c r="Q110" i="29"/>
  <c r="J110" i="29"/>
  <c r="R110" i="29"/>
  <c r="K70" i="29"/>
  <c r="L70" i="29"/>
  <c r="M70" i="29"/>
  <c r="N70" i="29"/>
  <c r="G70" i="29"/>
  <c r="O70" i="29"/>
  <c r="I70" i="29"/>
  <c r="Q70" i="29"/>
  <c r="J70" i="29"/>
  <c r="P70" i="29"/>
  <c r="R70" i="29"/>
  <c r="H70" i="29"/>
  <c r="K62" i="29"/>
  <c r="L62" i="29"/>
  <c r="M62" i="29"/>
  <c r="N62" i="29"/>
  <c r="G62" i="29"/>
  <c r="O62" i="29"/>
  <c r="I62" i="29"/>
  <c r="Q62" i="29"/>
  <c r="J62" i="29"/>
  <c r="P62" i="29"/>
  <c r="R62" i="29"/>
  <c r="H62" i="29"/>
  <c r="L128" i="29"/>
  <c r="M128" i="29"/>
  <c r="N128" i="29"/>
  <c r="G128" i="29"/>
  <c r="O128" i="29"/>
  <c r="I128" i="29"/>
  <c r="Q128" i="29"/>
  <c r="L120" i="29"/>
  <c r="M120" i="29"/>
  <c r="N120" i="29"/>
  <c r="G120" i="29"/>
  <c r="O120" i="29"/>
  <c r="I120" i="29"/>
  <c r="Q120" i="29"/>
  <c r="L112" i="29"/>
  <c r="M112" i="29"/>
  <c r="N112" i="29"/>
  <c r="G112" i="29"/>
  <c r="O112" i="29"/>
  <c r="I112" i="29"/>
  <c r="Q112" i="29"/>
  <c r="J112" i="29"/>
  <c r="R112" i="29"/>
  <c r="M104" i="29"/>
  <c r="J104" i="29"/>
  <c r="K104" i="29"/>
  <c r="L104" i="29"/>
  <c r="N104" i="29"/>
  <c r="O104" i="29"/>
  <c r="H104" i="29"/>
  <c r="Q104" i="29"/>
  <c r="I104" i="29"/>
  <c r="R104" i="29"/>
  <c r="K96" i="29"/>
  <c r="L96" i="29"/>
  <c r="M96" i="29"/>
  <c r="N96" i="29"/>
  <c r="G96" i="29"/>
  <c r="O96" i="29"/>
  <c r="I96" i="29"/>
  <c r="Q96" i="29"/>
  <c r="R96" i="29"/>
  <c r="J96" i="29"/>
  <c r="P96" i="29"/>
  <c r="K88" i="29"/>
  <c r="L88" i="29"/>
  <c r="M88" i="29"/>
  <c r="N88" i="29"/>
  <c r="G88" i="29"/>
  <c r="O88" i="29"/>
  <c r="I88" i="29"/>
  <c r="Q88" i="29"/>
  <c r="R88" i="29"/>
  <c r="J88" i="29"/>
  <c r="P88" i="29"/>
  <c r="K80" i="29"/>
  <c r="L80" i="29"/>
  <c r="M80" i="29"/>
  <c r="N80" i="29"/>
  <c r="G80" i="29"/>
  <c r="O80" i="29"/>
  <c r="I80" i="29"/>
  <c r="Q80" i="29"/>
  <c r="R80" i="29"/>
  <c r="J80" i="29"/>
  <c r="P80" i="29"/>
  <c r="K72" i="29"/>
  <c r="L72" i="29"/>
  <c r="M72" i="29"/>
  <c r="N72" i="29"/>
  <c r="G72" i="29"/>
  <c r="O72" i="29"/>
  <c r="I72" i="29"/>
  <c r="Q72" i="29"/>
  <c r="R72" i="29"/>
  <c r="J72" i="29"/>
  <c r="P72" i="29"/>
  <c r="K64" i="29"/>
  <c r="L64" i="29"/>
  <c r="M64" i="29"/>
  <c r="N64" i="29"/>
  <c r="G64" i="29"/>
  <c r="O64" i="29"/>
  <c r="I64" i="29"/>
  <c r="Q64" i="29"/>
  <c r="R64" i="29"/>
  <c r="J64" i="29"/>
  <c r="P64" i="29"/>
  <c r="J56" i="29"/>
  <c r="R56" i="29"/>
  <c r="K56" i="29"/>
  <c r="L56" i="29"/>
  <c r="M56" i="29"/>
  <c r="N56" i="29"/>
  <c r="G56" i="29"/>
  <c r="O56" i="29"/>
  <c r="H56" i="29"/>
  <c r="P56" i="29"/>
  <c r="I56" i="29"/>
  <c r="Q56" i="29"/>
  <c r="J48" i="29"/>
  <c r="R48" i="29"/>
  <c r="K48" i="29"/>
  <c r="L48" i="29"/>
  <c r="M48" i="29"/>
  <c r="N48" i="29"/>
  <c r="G48" i="29"/>
  <c r="O48" i="29"/>
  <c r="H48" i="29"/>
  <c r="P48" i="29"/>
  <c r="Q48" i="29"/>
  <c r="I48" i="29"/>
  <c r="J40" i="29"/>
  <c r="R40" i="29"/>
  <c r="K40" i="29"/>
  <c r="L40" i="29"/>
  <c r="M40" i="29"/>
  <c r="N40" i="29"/>
  <c r="G40" i="29"/>
  <c r="O40" i="29"/>
  <c r="H40" i="29"/>
  <c r="P40" i="29"/>
  <c r="I40" i="29"/>
  <c r="Q40" i="29"/>
  <c r="J32" i="29"/>
  <c r="R32" i="29"/>
  <c r="K32" i="29"/>
  <c r="L32" i="29"/>
  <c r="M32" i="29"/>
  <c r="N32" i="29"/>
  <c r="G32" i="29"/>
  <c r="O32" i="29"/>
  <c r="H32" i="29"/>
  <c r="P32" i="29"/>
  <c r="Q32" i="29"/>
  <c r="I32" i="29"/>
  <c r="J24" i="29"/>
  <c r="R24" i="29"/>
  <c r="K24" i="29"/>
  <c r="L24" i="29"/>
  <c r="M24" i="29"/>
  <c r="N24" i="29"/>
  <c r="G24" i="29"/>
  <c r="O24" i="29"/>
  <c r="H24" i="29"/>
  <c r="P24" i="29"/>
  <c r="I24" i="29"/>
  <c r="Q24" i="29"/>
  <c r="J16" i="29"/>
  <c r="R16" i="29"/>
  <c r="K16" i="29"/>
  <c r="L16" i="29"/>
  <c r="M16" i="29"/>
  <c r="N16" i="29"/>
  <c r="G16" i="29"/>
  <c r="O16" i="29"/>
  <c r="H16" i="29"/>
  <c r="P16" i="29"/>
  <c r="Q16" i="29"/>
  <c r="I16" i="29"/>
  <c r="J8" i="29"/>
  <c r="R8" i="29"/>
  <c r="K8" i="29"/>
  <c r="L8" i="29"/>
  <c r="M8" i="29"/>
  <c r="N8" i="29"/>
  <c r="G8" i="29"/>
  <c r="O8" i="29"/>
  <c r="H8" i="29"/>
  <c r="P8" i="29"/>
  <c r="I8" i="29"/>
  <c r="Q8" i="29"/>
  <c r="K3" i="29"/>
  <c r="R161" i="29"/>
  <c r="J161" i="29"/>
  <c r="N160" i="29"/>
  <c r="R159" i="29"/>
  <c r="J159" i="29"/>
  <c r="N158" i="29"/>
  <c r="R157" i="29"/>
  <c r="J157" i="29"/>
  <c r="N156" i="29"/>
  <c r="R155" i="29"/>
  <c r="J155" i="29"/>
  <c r="N154" i="29"/>
  <c r="R153" i="29"/>
  <c r="J153" i="29"/>
  <c r="N152" i="29"/>
  <c r="R151" i="29"/>
  <c r="J151" i="29"/>
  <c r="N150" i="29"/>
  <c r="R149" i="29"/>
  <c r="J149" i="29"/>
  <c r="N148" i="29"/>
  <c r="R147" i="29"/>
  <c r="J147" i="29"/>
  <c r="M146" i="29"/>
  <c r="P145" i="29"/>
  <c r="G145" i="29"/>
  <c r="J144" i="29"/>
  <c r="P142" i="29"/>
  <c r="G142" i="29"/>
  <c r="I141" i="29"/>
  <c r="L140" i="29"/>
  <c r="O139" i="29"/>
  <c r="R138" i="29"/>
  <c r="I138" i="29"/>
  <c r="L137" i="29"/>
  <c r="O136" i="29"/>
  <c r="Q135" i="29"/>
  <c r="K134" i="29"/>
  <c r="G133" i="29"/>
  <c r="L131" i="29"/>
  <c r="N129" i="29"/>
  <c r="J124" i="29"/>
  <c r="K122" i="29"/>
  <c r="P120" i="29"/>
  <c r="R118" i="29"/>
  <c r="G117" i="29"/>
  <c r="L115" i="29"/>
  <c r="L113" i="29"/>
  <c r="P110" i="29"/>
  <c r="P107" i="29"/>
  <c r="J102" i="29"/>
  <c r="L85" i="29"/>
  <c r="H64" i="29"/>
  <c r="L126" i="29"/>
  <c r="M126" i="29"/>
  <c r="N126" i="29"/>
  <c r="G126" i="29"/>
  <c r="O126" i="29"/>
  <c r="I126" i="29"/>
  <c r="Q126" i="29"/>
  <c r="K78" i="29"/>
  <c r="L78" i="29"/>
  <c r="M78" i="29"/>
  <c r="N78" i="29"/>
  <c r="G78" i="29"/>
  <c r="O78" i="29"/>
  <c r="I78" i="29"/>
  <c r="Q78" i="29"/>
  <c r="J78" i="29"/>
  <c r="P78" i="29"/>
  <c r="R78" i="29"/>
  <c r="H78" i="29"/>
  <c r="J54" i="29"/>
  <c r="R54" i="29"/>
  <c r="K54" i="29"/>
  <c r="L54" i="29"/>
  <c r="M54" i="29"/>
  <c r="N54" i="29"/>
  <c r="G54" i="29"/>
  <c r="O54" i="29"/>
  <c r="H54" i="29"/>
  <c r="P54" i="29"/>
  <c r="I54" i="29"/>
  <c r="Q54" i="29"/>
  <c r="J143" i="29"/>
  <c r="R143" i="29"/>
  <c r="J135" i="29"/>
  <c r="R135" i="29"/>
  <c r="H127" i="29"/>
  <c r="P127" i="29"/>
  <c r="I127" i="29"/>
  <c r="Q127" i="29"/>
  <c r="J127" i="29"/>
  <c r="R127" i="29"/>
  <c r="K127" i="29"/>
  <c r="M127" i="29"/>
  <c r="H119" i="29"/>
  <c r="P119" i="29"/>
  <c r="I119" i="29"/>
  <c r="Q119" i="29"/>
  <c r="J119" i="29"/>
  <c r="R119" i="29"/>
  <c r="K119" i="29"/>
  <c r="M119" i="29"/>
  <c r="H111" i="29"/>
  <c r="P111" i="29"/>
  <c r="I111" i="29"/>
  <c r="Q111" i="29"/>
  <c r="J111" i="29"/>
  <c r="R111" i="29"/>
  <c r="K111" i="29"/>
  <c r="M111" i="29"/>
  <c r="N111" i="29"/>
  <c r="I103" i="29"/>
  <c r="Q103" i="29"/>
  <c r="M103" i="29"/>
  <c r="L103" i="29"/>
  <c r="N103" i="29"/>
  <c r="O103" i="29"/>
  <c r="P103" i="29"/>
  <c r="G103" i="29"/>
  <c r="R103" i="29"/>
  <c r="J103" i="29"/>
  <c r="K103" i="29"/>
  <c r="G95" i="29"/>
  <c r="O95" i="29"/>
  <c r="H95" i="29"/>
  <c r="P95" i="29"/>
  <c r="I95" i="29"/>
  <c r="Q95" i="29"/>
  <c r="J95" i="29"/>
  <c r="R95" i="29"/>
  <c r="K95" i="29"/>
  <c r="M95" i="29"/>
  <c r="L95" i="29"/>
  <c r="N95" i="29"/>
  <c r="G87" i="29"/>
  <c r="O87" i="29"/>
  <c r="H87" i="29"/>
  <c r="P87" i="29"/>
  <c r="I87" i="29"/>
  <c r="Q87" i="29"/>
  <c r="J87" i="29"/>
  <c r="R87" i="29"/>
  <c r="K87" i="29"/>
  <c r="M87" i="29"/>
  <c r="L87" i="29"/>
  <c r="N87" i="29"/>
  <c r="G79" i="29"/>
  <c r="O79" i="29"/>
  <c r="H79" i="29"/>
  <c r="P79" i="29"/>
  <c r="I79" i="29"/>
  <c r="Q79" i="29"/>
  <c r="J79" i="29"/>
  <c r="R79" i="29"/>
  <c r="K79" i="29"/>
  <c r="M79" i="29"/>
  <c r="L79" i="29"/>
  <c r="N79" i="29"/>
  <c r="G71" i="29"/>
  <c r="O71" i="29"/>
  <c r="H71" i="29"/>
  <c r="P71" i="29"/>
  <c r="I71" i="29"/>
  <c r="Q71" i="29"/>
  <c r="J71" i="29"/>
  <c r="R71" i="29"/>
  <c r="K71" i="29"/>
  <c r="M71" i="29"/>
  <c r="L71" i="29"/>
  <c r="N71" i="29"/>
  <c r="G63" i="29"/>
  <c r="O63" i="29"/>
  <c r="H63" i="29"/>
  <c r="P63" i="29"/>
  <c r="I63" i="29"/>
  <c r="Q63" i="29"/>
  <c r="J63" i="29"/>
  <c r="R63" i="29"/>
  <c r="K63" i="29"/>
  <c r="M63" i="29"/>
  <c r="L63" i="29"/>
  <c r="N63" i="29"/>
  <c r="N55" i="29"/>
  <c r="G55" i="29"/>
  <c r="O55" i="29"/>
  <c r="H55" i="29"/>
  <c r="P55" i="29"/>
  <c r="I55" i="29"/>
  <c r="Q55" i="29"/>
  <c r="J55" i="29"/>
  <c r="R55" i="29"/>
  <c r="K55" i="29"/>
  <c r="L55" i="29"/>
  <c r="M55" i="29"/>
  <c r="N47" i="29"/>
  <c r="G47" i="29"/>
  <c r="O47" i="29"/>
  <c r="H47" i="29"/>
  <c r="P47" i="29"/>
  <c r="I47" i="29"/>
  <c r="Q47" i="29"/>
  <c r="J47" i="29"/>
  <c r="R47" i="29"/>
  <c r="K47" i="29"/>
  <c r="L47" i="29"/>
  <c r="M47" i="29"/>
  <c r="N39" i="29"/>
  <c r="G39" i="29"/>
  <c r="O39" i="29"/>
  <c r="H39" i="29"/>
  <c r="P39" i="29"/>
  <c r="I39" i="29"/>
  <c r="Q39" i="29"/>
  <c r="J39" i="29"/>
  <c r="R39" i="29"/>
  <c r="K39" i="29"/>
  <c r="L39" i="29"/>
  <c r="M39" i="29"/>
  <c r="N31" i="29"/>
  <c r="G31" i="29"/>
  <c r="O31" i="29"/>
  <c r="H31" i="29"/>
  <c r="P31" i="29"/>
  <c r="I31" i="29"/>
  <c r="Q31" i="29"/>
  <c r="J31" i="29"/>
  <c r="R31" i="29"/>
  <c r="K31" i="29"/>
  <c r="L31" i="29"/>
  <c r="M31" i="29"/>
  <c r="N23" i="29"/>
  <c r="G23" i="29"/>
  <c r="O23" i="29"/>
  <c r="H23" i="29"/>
  <c r="P23" i="29"/>
  <c r="I23" i="29"/>
  <c r="Q23" i="29"/>
  <c r="J23" i="29"/>
  <c r="R23" i="29"/>
  <c r="K23" i="29"/>
  <c r="L23" i="29"/>
  <c r="M23" i="29"/>
  <c r="N15" i="29"/>
  <c r="G15" i="29"/>
  <c r="O15" i="29"/>
  <c r="H15" i="29"/>
  <c r="P15" i="29"/>
  <c r="I15" i="29"/>
  <c r="Q15" i="29"/>
  <c r="J15" i="29"/>
  <c r="R15" i="29"/>
  <c r="K15" i="29"/>
  <c r="L15" i="29"/>
  <c r="M15" i="29"/>
  <c r="N7" i="29"/>
  <c r="G7" i="29"/>
  <c r="O7" i="29"/>
  <c r="H7" i="29"/>
  <c r="P7" i="29"/>
  <c r="I7" i="29"/>
  <c r="Q7" i="29"/>
  <c r="J7" i="29"/>
  <c r="R7" i="29"/>
  <c r="K7" i="29"/>
  <c r="L7" i="29"/>
  <c r="M7" i="29"/>
  <c r="Q161" i="29"/>
  <c r="Q159" i="29"/>
  <c r="Q157" i="29"/>
  <c r="Q155" i="29"/>
  <c r="Q153" i="29"/>
  <c r="Q151" i="29"/>
  <c r="Q149" i="29"/>
  <c r="Q147" i="29"/>
  <c r="L146" i="29"/>
  <c r="O145" i="29"/>
  <c r="R144" i="29"/>
  <c r="I144" i="29"/>
  <c r="L143" i="29"/>
  <c r="O142" i="29"/>
  <c r="Q141" i="29"/>
  <c r="H141" i="29"/>
  <c r="K140" i="29"/>
  <c r="N139" i="29"/>
  <c r="Q138" i="29"/>
  <c r="H138" i="29"/>
  <c r="K137" i="29"/>
  <c r="M136" i="29"/>
  <c r="P135" i="29"/>
  <c r="G135" i="29"/>
  <c r="J134" i="29"/>
  <c r="R132" i="29"/>
  <c r="G131" i="29"/>
  <c r="L129" i="29"/>
  <c r="N127" i="29"/>
  <c r="O125" i="29"/>
  <c r="H124" i="29"/>
  <c r="J122" i="29"/>
  <c r="K120" i="29"/>
  <c r="P118" i="29"/>
  <c r="R116" i="29"/>
  <c r="G115" i="29"/>
  <c r="G113" i="29"/>
  <c r="K110" i="29"/>
  <c r="K107" i="29"/>
  <c r="K101" i="29"/>
  <c r="P82" i="29"/>
  <c r="L61" i="29"/>
</calcChain>
</file>

<file path=xl/sharedStrings.xml><?xml version="1.0" encoding="utf-8"?>
<sst xmlns="http://schemas.openxmlformats.org/spreadsheetml/2006/main" count="360" uniqueCount="246">
  <si>
    <t>Month</t>
  </si>
  <si>
    <t>Travellers('000)</t>
  </si>
  <si>
    <t>Trend</t>
  </si>
  <si>
    <t>T</t>
  </si>
  <si>
    <t>Data Mining: Time Series Partitioner</t>
  </si>
  <si>
    <t>Output Navigator</t>
  </si>
  <si>
    <t>Elapsed Times in Milliseconds</t>
  </si>
  <si>
    <t>Data Reading Time</t>
  </si>
  <si>
    <t>Algorithm Time</t>
  </si>
  <si>
    <t>Report Time</t>
  </si>
  <si>
    <t>Total</t>
  </si>
  <si>
    <t>Inputs</t>
  </si>
  <si>
    <t>Data</t>
  </si>
  <si>
    <t>Workbook</t>
  </si>
  <si>
    <t>RAW_DATASET.xlsm</t>
  </si>
  <si>
    <t>Worksheet</t>
  </si>
  <si>
    <t>Range</t>
  </si>
  <si>
    <t># Records in the input data</t>
  </si>
  <si>
    <t>Variables</t>
  </si>
  <si>
    <t># Selected Variables</t>
  </si>
  <si>
    <t>Time Variable</t>
  </si>
  <si>
    <t>Value Variables</t>
  </si>
  <si>
    <t>Partitioning Parameters</t>
  </si>
  <si>
    <t>Partitioning type</t>
  </si>
  <si>
    <t>SEQUENTIAL</t>
  </si>
  <si>
    <t>Ratio - Training</t>
  </si>
  <si>
    <t>Ratio - Validation</t>
  </si>
  <si>
    <t>Partition Summary</t>
  </si>
  <si>
    <t>Partition</t>
  </si>
  <si>
    <t># Records</t>
  </si>
  <si>
    <t>Training</t>
  </si>
  <si>
    <t>Validation</t>
  </si>
  <si>
    <t>{"comment":"this RASON template was auto-generated by Analytic Solver Data Mining","datasources":{},"datasets":{},"transformer":{"partitioner":{"type":"transformation","algorithm":"partitioning","parameters":{"partitionMethod":"SEQUENTIAL","ratios":[["Training",0.59999999999999998],["Validation",0.40000000000000002]],"seed":12345}}},"actions":{}}</t>
  </si>
  <si>
    <t>Partitioned Data</t>
  </si>
  <si>
    <t>Record ID</t>
  </si>
  <si>
    <t>Record 1</t>
  </si>
  <si>
    <t>Record 2</t>
  </si>
  <si>
    <t>Record 3</t>
  </si>
  <si>
    <t>Record 4</t>
  </si>
  <si>
    <t>Record 5</t>
  </si>
  <si>
    <t>Record 6</t>
  </si>
  <si>
    <t>Record 7</t>
  </si>
  <si>
    <t>Record 8</t>
  </si>
  <si>
    <t>Record 9</t>
  </si>
  <si>
    <t>Record 10</t>
  </si>
  <si>
    <t>Record 11</t>
  </si>
  <si>
    <t>Record 12</t>
  </si>
  <si>
    <t>Record 13</t>
  </si>
  <si>
    <t>Record 14</t>
  </si>
  <si>
    <t>Record 15</t>
  </si>
  <si>
    <t>Record 16</t>
  </si>
  <si>
    <t>Record 17</t>
  </si>
  <si>
    <t>Record 18</t>
  </si>
  <si>
    <t>Record 19</t>
  </si>
  <si>
    <t>Record 20</t>
  </si>
  <si>
    <t>Record 21</t>
  </si>
  <si>
    <t>Record 22</t>
  </si>
  <si>
    <t>Record 23</t>
  </si>
  <si>
    <t>Record 24</t>
  </si>
  <si>
    <t>Record 25</t>
  </si>
  <si>
    <t>Record 26</t>
  </si>
  <si>
    <t>Record 27</t>
  </si>
  <si>
    <t>Record 28</t>
  </si>
  <si>
    <t>Record 29</t>
  </si>
  <si>
    <t>Record 30</t>
  </si>
  <si>
    <t>Record 31</t>
  </si>
  <si>
    <t>Record 32</t>
  </si>
  <si>
    <t>Record 33</t>
  </si>
  <si>
    <t>Record 34</t>
  </si>
  <si>
    <t>Record 35</t>
  </si>
  <si>
    <t>Record 36</t>
  </si>
  <si>
    <t>Record 37</t>
  </si>
  <si>
    <t>Record 38</t>
  </si>
  <si>
    <t>Record 39</t>
  </si>
  <si>
    <t>Record 40</t>
  </si>
  <si>
    <t>Record 41</t>
  </si>
  <si>
    <t>Record 42</t>
  </si>
  <si>
    <t>Record 43</t>
  </si>
  <si>
    <t>Record 44</t>
  </si>
  <si>
    <t>Record 45</t>
  </si>
  <si>
    <t>Record 46</t>
  </si>
  <si>
    <t>Record 47</t>
  </si>
  <si>
    <t>Record 48</t>
  </si>
  <si>
    <t>Record 49</t>
  </si>
  <si>
    <t>Record 50</t>
  </si>
  <si>
    <t>Record 51</t>
  </si>
  <si>
    <t>Record 52</t>
  </si>
  <si>
    <t>Record 53</t>
  </si>
  <si>
    <t>Record 54</t>
  </si>
  <si>
    <t>Record 55</t>
  </si>
  <si>
    <t>Record 56</t>
  </si>
  <si>
    <t>Record 57</t>
  </si>
  <si>
    <t>Record 58</t>
  </si>
  <si>
    <t>Record 59</t>
  </si>
  <si>
    <t>Record 60</t>
  </si>
  <si>
    <t>Record 61</t>
  </si>
  <si>
    <t>Record 62</t>
  </si>
  <si>
    <t>Record 63</t>
  </si>
  <si>
    <t>Record 64</t>
  </si>
  <si>
    <t>Record 65</t>
  </si>
  <si>
    <t>Record 66</t>
  </si>
  <si>
    <t>Record 67</t>
  </si>
  <si>
    <t>Record 68</t>
  </si>
  <si>
    <t>Record 69</t>
  </si>
  <si>
    <t>Record 70</t>
  </si>
  <si>
    <t>Record 71</t>
  </si>
  <si>
    <t>Record 72</t>
  </si>
  <si>
    <t>Record 73</t>
  </si>
  <si>
    <t>Record 74</t>
  </si>
  <si>
    <t>Record 75</t>
  </si>
  <si>
    <t>Record 76</t>
  </si>
  <si>
    <t>Record 77</t>
  </si>
  <si>
    <t>Record 78</t>
  </si>
  <si>
    <t>Record 79</t>
  </si>
  <si>
    <t>Record 80</t>
  </si>
  <si>
    <t>Record 81</t>
  </si>
  <si>
    <t>Record 82</t>
  </si>
  <si>
    <t>Record 83</t>
  </si>
  <si>
    <t>Record 84</t>
  </si>
  <si>
    <t>Record 85</t>
  </si>
  <si>
    <t>Record 86</t>
  </si>
  <si>
    <t>Record 87</t>
  </si>
  <si>
    <t>Record 88</t>
  </si>
  <si>
    <t>Record 89</t>
  </si>
  <si>
    <t>Record 90</t>
  </si>
  <si>
    <t>Record 91</t>
  </si>
  <si>
    <t>Record 92</t>
  </si>
  <si>
    <t>Record 93</t>
  </si>
  <si>
    <t>Record 94</t>
  </si>
  <si>
    <t>Record 95</t>
  </si>
  <si>
    <t>Record 96</t>
  </si>
  <si>
    <t>Record 97</t>
  </si>
  <si>
    <t>Record 98</t>
  </si>
  <si>
    <t>Record 99</t>
  </si>
  <si>
    <t>Record 100</t>
  </si>
  <si>
    <t>Record 101</t>
  </si>
  <si>
    <t>Record 102</t>
  </si>
  <si>
    <t>Record 103</t>
  </si>
  <si>
    <t>Record 104</t>
  </si>
  <si>
    <t>Record 105</t>
  </si>
  <si>
    <t>Record 106</t>
  </si>
  <si>
    <t>Record 107</t>
  </si>
  <si>
    <t>Record 108</t>
  </si>
  <si>
    <t>Record 109</t>
  </si>
  <si>
    <t>Record 110</t>
  </si>
  <si>
    <t>Record 111</t>
  </si>
  <si>
    <t>Record 112</t>
  </si>
  <si>
    <t>Record 113</t>
  </si>
  <si>
    <t>Record 114</t>
  </si>
  <si>
    <t>Record 115</t>
  </si>
  <si>
    <t>Record 116</t>
  </si>
  <si>
    <t>Record 117</t>
  </si>
  <si>
    <t>Record 118</t>
  </si>
  <si>
    <t>Record 119</t>
  </si>
  <si>
    <t>Record 120</t>
  </si>
  <si>
    <t>Record 121</t>
  </si>
  <si>
    <t>Record 122</t>
  </si>
  <si>
    <t>Record 123</t>
  </si>
  <si>
    <t>Record 124</t>
  </si>
  <si>
    <t>Record 125</t>
  </si>
  <si>
    <t>Record 126</t>
  </si>
  <si>
    <t>Record 127</t>
  </si>
  <si>
    <t>Record 128</t>
  </si>
  <si>
    <t>Record 129</t>
  </si>
  <si>
    <t>Record 130</t>
  </si>
  <si>
    <t>Record 131</t>
  </si>
  <si>
    <t>Record 132</t>
  </si>
  <si>
    <t>Record 133</t>
  </si>
  <si>
    <t>Record 134</t>
  </si>
  <si>
    <t>Record 135</t>
  </si>
  <si>
    <t>Record 136</t>
  </si>
  <si>
    <t>Record 137</t>
  </si>
  <si>
    <t>Record 138</t>
  </si>
  <si>
    <t>Record 139</t>
  </si>
  <si>
    <t>Record 140</t>
  </si>
  <si>
    <t>Record 141</t>
  </si>
  <si>
    <t>Record 142</t>
  </si>
  <si>
    <t>Record 143</t>
  </si>
  <si>
    <t>Record 144</t>
  </si>
  <si>
    <t>Record 145</t>
  </si>
  <si>
    <t>Record 146</t>
  </si>
  <si>
    <t>Record 147</t>
  </si>
  <si>
    <t>Record 148</t>
  </si>
  <si>
    <t>Record 149</t>
  </si>
  <si>
    <t>Record 150</t>
  </si>
  <si>
    <t>Record 151</t>
  </si>
  <si>
    <t>Record 152</t>
  </si>
  <si>
    <t>Record 153</t>
  </si>
  <si>
    <t>Record 154</t>
  </si>
  <si>
    <t>Record 155</t>
  </si>
  <si>
    <t>Record 156</t>
  </si>
  <si>
    <t>Record 157</t>
  </si>
  <si>
    <t>Record 158</t>
  </si>
  <si>
    <t>Record 159</t>
  </si>
  <si>
    <t>Seasonality</t>
  </si>
  <si>
    <t>Model 1</t>
  </si>
  <si>
    <t>Model 2</t>
  </si>
  <si>
    <t>Model 3</t>
  </si>
  <si>
    <t>Accuracy</t>
  </si>
  <si>
    <t>RMSE</t>
  </si>
  <si>
    <t>MAPE</t>
  </si>
  <si>
    <t>Residual</t>
  </si>
  <si>
    <t>T2</t>
  </si>
  <si>
    <t>Log(Yt)</t>
  </si>
  <si>
    <t>ft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</si>
  <si>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</si>
  <si>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</si>
  <si>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</si>
  <si>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</si>
  <si>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</si>
  <si>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</si>
  <si>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</si>
  <si>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</si>
  <si>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</si>
  <si>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</si>
  <si>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</si>
  <si>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</si>
  <si>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Num_Month</t>
  </si>
  <si>
    <t>Sheet29</t>
  </si>
  <si>
    <t>N/A</t>
  </si>
  <si>
    <t>error</t>
  </si>
  <si>
    <t>Date: 26-May-2019 15:26:09</t>
  </si>
  <si>
    <t>$A$2:$R$161</t>
  </si>
  <si>
    <t>Data Mining: Lag Analysis (ACF, ACVF, PACF)</t>
  </si>
  <si>
    <t>Date: 26-May-2019 16:28:45</t>
  </si>
  <si>
    <t>Sheet69</t>
  </si>
  <si>
    <t>Data Range</t>
  </si>
  <si>
    <t>$C$1:$C$96</t>
  </si>
  <si>
    <t>Value Variable</t>
  </si>
  <si>
    <t>Lag Parameters</t>
  </si>
  <si>
    <t>Training Min Lag</t>
  </si>
  <si>
    <t>Training Max Lag</t>
  </si>
  <si>
    <t>ACF: Training</t>
  </si>
  <si>
    <t>ACVF: Training</t>
  </si>
  <si>
    <t>PACF: Training</t>
  </si>
  <si>
    <t>ACF</t>
  </si>
  <si>
    <t>ACVF</t>
  </si>
  <si>
    <t>PACF</t>
  </si>
  <si>
    <t>Date: 26-May-2019 16:35:03</t>
  </si>
  <si>
    <t>$B$1:$B$96</t>
  </si>
  <si>
    <t>Avg</t>
  </si>
  <si>
    <t>Linear</t>
  </si>
  <si>
    <t>Qu</t>
  </si>
  <si>
    <t>Level / AVG of all</t>
  </si>
  <si>
    <t xml:space="preserve">Trend Line </t>
  </si>
  <si>
    <t>Sasonality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</si>
</sst>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10" x14ac:knownFonts="1">
    <font>
      <sz val="12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2"/>
      <name val="Calibri"/>
      <family val="2"/>
      <scheme val="minor"/>
    </font>
    <font>
      <b/>
      <sz val="14"/>
      <color rgb="FF4169E1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rgb="FF4169E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EBEBFA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7" fillId="0" borderId="0" applyNumberFormat="0" applyFill="0" applyBorder="0" applyAlignment="0" applyProtection="0"/>
  </cellStyleXfs>
  <cellXfs count="42">
    <xf numFmtId="0" fontId="0" fillId="0" borderId="0" xfId="0"/>
    <xf numFmtId="0" fontId="0" fillId="2" borderId="0" xfId="0" applyFill="1"/>
    <xf numFmtId="0" fontId="1" fillId="2" borderId="1" xfId="0" applyFont="1" applyFill="1" applyBorder="1" applyAlignment="1">
      <alignment horizontal="center"/>
    </xf>
    <xf numFmtId="17" fontId="0" fillId="2" borderId="1" xfId="0" applyNumberFormat="1" applyFill="1" applyBorder="1"/>
    <xf numFmtId="1" fontId="2" fillId="2" borderId="1" xfId="1" applyNumberFormat="1" applyFont="1" applyFill="1" applyBorder="1" applyAlignment="1">
      <alignment horizontal="right"/>
    </xf>
    <xf numFmtId="0" fontId="0" fillId="0" borderId="0" xfId="0" quotePrefix="1"/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2" xfId="0" applyFont="1" applyFill="1" applyBorder="1"/>
    <xf numFmtId="0" fontId="0" fillId="0" borderId="2" xfId="0" applyFont="1" applyFill="1" applyBorder="1" applyAlignment="1">
      <alignment horizontal="left"/>
    </xf>
    <xf numFmtId="0" fontId="6" fillId="4" borderId="2" xfId="0" applyFont="1" applyFill="1" applyBorder="1" applyAlignment="1">
      <alignment horizontal="center"/>
    </xf>
    <xf numFmtId="164" fontId="0" fillId="0" borderId="0" xfId="0" applyNumberFormat="1"/>
    <xf numFmtId="0" fontId="0" fillId="0" borderId="0" xfId="0" applyNumberFormat="1"/>
    <xf numFmtId="0" fontId="0" fillId="0" borderId="0" xfId="0" quotePrefix="1" applyNumberFormat="1"/>
    <xf numFmtId="0" fontId="0" fillId="0" borderId="0" xfId="0" applyNumberFormat="1" applyAlignment="1">
      <alignment horizontal="right"/>
    </xf>
    <xf numFmtId="0" fontId="0" fillId="6" borderId="7" xfId="0" applyFont="1" applyFill="1" applyBorder="1" applyAlignment="1">
      <alignment horizontal="right"/>
    </xf>
    <xf numFmtId="0" fontId="0" fillId="7" borderId="7" xfId="0" applyFont="1" applyFill="1" applyBorder="1" applyAlignment="1">
      <alignment horizontal="right"/>
    </xf>
    <xf numFmtId="0" fontId="0" fillId="6" borderId="8" xfId="0" applyFont="1" applyFill="1" applyBorder="1" applyAlignment="1">
      <alignment horizontal="right"/>
    </xf>
    <xf numFmtId="0" fontId="9" fillId="2" borderId="0" xfId="0" applyFont="1" applyFill="1"/>
    <xf numFmtId="0" fontId="9" fillId="8" borderId="0" xfId="0" applyFont="1" applyFill="1"/>
    <xf numFmtId="0" fontId="0" fillId="8" borderId="0" xfId="0" applyFill="1"/>
    <xf numFmtId="17" fontId="0" fillId="0" borderId="0" xfId="0" applyNumberFormat="1"/>
    <xf numFmtId="0" fontId="8" fillId="5" borderId="6" xfId="0" quotePrefix="1" applyFont="1" applyFill="1" applyBorder="1"/>
    <xf numFmtId="0" fontId="3" fillId="3" borderId="3" xfId="0" applyFont="1" applyFill="1" applyBorder="1" applyAlignment="1">
      <alignment horizontal="left"/>
    </xf>
    <xf numFmtId="0" fontId="3" fillId="3" borderId="4" xfId="0" applyFont="1" applyFill="1" applyBorder="1" applyAlignment="1">
      <alignment horizontal="left"/>
    </xf>
    <xf numFmtId="0" fontId="3" fillId="3" borderId="5" xfId="0" applyFont="1" applyFill="1" applyBorder="1" applyAlignment="1">
      <alignment horizontal="left"/>
    </xf>
    <xf numFmtId="0" fontId="6" fillId="4" borderId="3" xfId="0" applyFont="1" applyFill="1" applyBorder="1" applyAlignment="1">
      <alignment horizontal="left"/>
    </xf>
    <xf numFmtId="0" fontId="6" fillId="4" borderId="4" xfId="0" applyFont="1" applyFill="1" applyBorder="1" applyAlignment="1">
      <alignment horizontal="left"/>
    </xf>
    <xf numFmtId="0" fontId="6" fillId="4" borderId="5" xfId="0" applyFont="1" applyFill="1" applyBorder="1" applyAlignment="1">
      <alignment horizontal="left"/>
    </xf>
    <xf numFmtId="0" fontId="7" fillId="0" borderId="3" xfId="2" applyFill="1" applyBorder="1"/>
    <xf numFmtId="0" fontId="0" fillId="0" borderId="5" xfId="0" applyFont="1" applyFill="1" applyBorder="1"/>
    <xf numFmtId="0" fontId="0" fillId="0" borderId="3" xfId="0" applyFont="1" applyFill="1" applyBorder="1" applyAlignment="1">
      <alignment horizontal="left"/>
    </xf>
    <xf numFmtId="0" fontId="0" fillId="0" borderId="4" xfId="0" applyFont="1" applyFill="1" applyBorder="1" applyAlignment="1">
      <alignment horizontal="left"/>
    </xf>
    <xf numFmtId="0" fontId="0" fillId="0" borderId="5" xfId="0" applyFont="1" applyFill="1" applyBorder="1" applyAlignment="1">
      <alignment horizontal="left"/>
    </xf>
    <xf numFmtId="0" fontId="0" fillId="0" borderId="3" xfId="0" applyFont="1" applyFill="1" applyBorder="1"/>
    <xf numFmtId="0" fontId="0" fillId="0" borderId="4" xfId="0" applyFont="1" applyFill="1" applyBorder="1"/>
    <xf numFmtId="2" fontId="0" fillId="2" borderId="0" xfId="0" applyNumberFormat="1" applyFill="1"/>
    <xf numFmtId="0" fontId="0" fillId="9" borderId="9" xfId="0" applyFill="1" applyBorder="1"/>
    <xf numFmtId="0" fontId="0" fillId="2" borderId="1" xfId="0" applyFill="1" applyBorder="1"/>
    <xf numFmtId="0" fontId="0" fillId="9" borderId="1" xfId="0" applyFill="1" applyBorder="1"/>
  </cellXfs>
  <cellStyles count="3">
    <cellStyle name="Hyperlink" xfId="2" builtinId="8"/>
    <cellStyle name="Normal" xfId="0" builtinId="0"/>
    <cellStyle name="Normal_DATA" xfId="1" xr:uid="{00000000-0005-0000-0000-000001000000}"/>
  </cellStyles>
  <dxfs count="33"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Data_Raw!$B$1</c:f>
              <c:strCache>
                <c:ptCount val="1"/>
                <c:pt idx="0">
                  <c:v>Travellers('000)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31750" cap="sq">
                <a:solidFill>
                  <a:srgbClr val="FF0000"/>
                </a:solidFill>
                <a:prstDash val="solid"/>
                <a:headEnd type="triangle"/>
                <a:tailEnd type="arrow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1.1262780585262663E-2"/>
                  <c:y val="-0.2998869932925051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numRef>
              <c:f>Data_Raw!$A$2:$A$160</c:f>
              <c:numCache>
                <c:formatCode>mmm\-yy</c:formatCode>
                <c:ptCount val="159"/>
                <c:pt idx="0">
                  <c:v>33239</c:v>
                </c:pt>
                <c:pt idx="1">
                  <c:v>33270</c:v>
                </c:pt>
                <c:pt idx="2">
                  <c:v>33298</c:v>
                </c:pt>
                <c:pt idx="3">
                  <c:v>33329</c:v>
                </c:pt>
                <c:pt idx="4">
                  <c:v>33359</c:v>
                </c:pt>
                <c:pt idx="5">
                  <c:v>33390</c:v>
                </c:pt>
                <c:pt idx="6">
                  <c:v>33420</c:v>
                </c:pt>
                <c:pt idx="7">
                  <c:v>33451</c:v>
                </c:pt>
                <c:pt idx="8">
                  <c:v>33482</c:v>
                </c:pt>
                <c:pt idx="9">
                  <c:v>33512</c:v>
                </c:pt>
                <c:pt idx="10">
                  <c:v>33543</c:v>
                </c:pt>
                <c:pt idx="11">
                  <c:v>33573</c:v>
                </c:pt>
                <c:pt idx="12">
                  <c:v>33604</c:v>
                </c:pt>
                <c:pt idx="13">
                  <c:v>33635</c:v>
                </c:pt>
                <c:pt idx="14">
                  <c:v>33664</c:v>
                </c:pt>
                <c:pt idx="15">
                  <c:v>33695</c:v>
                </c:pt>
                <c:pt idx="16">
                  <c:v>33725</c:v>
                </c:pt>
                <c:pt idx="17">
                  <c:v>33756</c:v>
                </c:pt>
                <c:pt idx="18">
                  <c:v>33786</c:v>
                </c:pt>
                <c:pt idx="19">
                  <c:v>33817</c:v>
                </c:pt>
                <c:pt idx="20">
                  <c:v>33848</c:v>
                </c:pt>
                <c:pt idx="21">
                  <c:v>33878</c:v>
                </c:pt>
                <c:pt idx="22">
                  <c:v>33909</c:v>
                </c:pt>
                <c:pt idx="23">
                  <c:v>33939</c:v>
                </c:pt>
                <c:pt idx="24">
                  <c:v>33970</c:v>
                </c:pt>
                <c:pt idx="25">
                  <c:v>34001</c:v>
                </c:pt>
                <c:pt idx="26">
                  <c:v>34029</c:v>
                </c:pt>
                <c:pt idx="27">
                  <c:v>34060</c:v>
                </c:pt>
                <c:pt idx="28">
                  <c:v>34090</c:v>
                </c:pt>
                <c:pt idx="29">
                  <c:v>34121</c:v>
                </c:pt>
                <c:pt idx="30">
                  <c:v>34151</c:v>
                </c:pt>
                <c:pt idx="31">
                  <c:v>34182</c:v>
                </c:pt>
                <c:pt idx="32">
                  <c:v>34213</c:v>
                </c:pt>
                <c:pt idx="33">
                  <c:v>34243</c:v>
                </c:pt>
                <c:pt idx="34">
                  <c:v>34274</c:v>
                </c:pt>
                <c:pt idx="35">
                  <c:v>34304</c:v>
                </c:pt>
                <c:pt idx="36">
                  <c:v>34335</c:v>
                </c:pt>
                <c:pt idx="37">
                  <c:v>34366</c:v>
                </c:pt>
                <c:pt idx="38">
                  <c:v>34394</c:v>
                </c:pt>
                <c:pt idx="39">
                  <c:v>34425</c:v>
                </c:pt>
                <c:pt idx="40">
                  <c:v>34455</c:v>
                </c:pt>
                <c:pt idx="41">
                  <c:v>34486</c:v>
                </c:pt>
                <c:pt idx="42">
                  <c:v>34516</c:v>
                </c:pt>
                <c:pt idx="43">
                  <c:v>34547</c:v>
                </c:pt>
                <c:pt idx="44">
                  <c:v>34578</c:v>
                </c:pt>
                <c:pt idx="45">
                  <c:v>34608</c:v>
                </c:pt>
                <c:pt idx="46">
                  <c:v>34639</c:v>
                </c:pt>
                <c:pt idx="47">
                  <c:v>34669</c:v>
                </c:pt>
                <c:pt idx="48">
                  <c:v>34700</c:v>
                </c:pt>
                <c:pt idx="49">
                  <c:v>34731</c:v>
                </c:pt>
                <c:pt idx="50">
                  <c:v>34759</c:v>
                </c:pt>
                <c:pt idx="51">
                  <c:v>34790</c:v>
                </c:pt>
                <c:pt idx="52">
                  <c:v>34820</c:v>
                </c:pt>
                <c:pt idx="53">
                  <c:v>34851</c:v>
                </c:pt>
                <c:pt idx="54">
                  <c:v>34881</c:v>
                </c:pt>
                <c:pt idx="55">
                  <c:v>34912</c:v>
                </c:pt>
                <c:pt idx="56">
                  <c:v>34943</c:v>
                </c:pt>
                <c:pt idx="57">
                  <c:v>34973</c:v>
                </c:pt>
                <c:pt idx="58">
                  <c:v>35004</c:v>
                </c:pt>
                <c:pt idx="59">
                  <c:v>35034</c:v>
                </c:pt>
                <c:pt idx="60">
                  <c:v>35065</c:v>
                </c:pt>
                <c:pt idx="61">
                  <c:v>35096</c:v>
                </c:pt>
                <c:pt idx="62">
                  <c:v>35125</c:v>
                </c:pt>
                <c:pt idx="63">
                  <c:v>35156</c:v>
                </c:pt>
                <c:pt idx="64">
                  <c:v>35186</c:v>
                </c:pt>
                <c:pt idx="65">
                  <c:v>35217</c:v>
                </c:pt>
                <c:pt idx="66">
                  <c:v>35247</c:v>
                </c:pt>
                <c:pt idx="67">
                  <c:v>35278</c:v>
                </c:pt>
                <c:pt idx="68">
                  <c:v>35309</c:v>
                </c:pt>
                <c:pt idx="69">
                  <c:v>35339</c:v>
                </c:pt>
                <c:pt idx="70">
                  <c:v>35370</c:v>
                </c:pt>
                <c:pt idx="71">
                  <c:v>35400</c:v>
                </c:pt>
                <c:pt idx="72">
                  <c:v>35431</c:v>
                </c:pt>
                <c:pt idx="73">
                  <c:v>35462</c:v>
                </c:pt>
                <c:pt idx="74">
                  <c:v>35490</c:v>
                </c:pt>
                <c:pt idx="75">
                  <c:v>35521</c:v>
                </c:pt>
                <c:pt idx="76">
                  <c:v>35551</c:v>
                </c:pt>
                <c:pt idx="77">
                  <c:v>35582</c:v>
                </c:pt>
                <c:pt idx="78">
                  <c:v>35612</c:v>
                </c:pt>
                <c:pt idx="79">
                  <c:v>35643</c:v>
                </c:pt>
                <c:pt idx="80">
                  <c:v>35674</c:v>
                </c:pt>
                <c:pt idx="81">
                  <c:v>35704</c:v>
                </c:pt>
                <c:pt idx="82">
                  <c:v>35735</c:v>
                </c:pt>
                <c:pt idx="83">
                  <c:v>35765</c:v>
                </c:pt>
                <c:pt idx="84">
                  <c:v>35796</c:v>
                </c:pt>
                <c:pt idx="85">
                  <c:v>35827</c:v>
                </c:pt>
                <c:pt idx="86">
                  <c:v>35855</c:v>
                </c:pt>
                <c:pt idx="87">
                  <c:v>35886</c:v>
                </c:pt>
                <c:pt idx="88">
                  <c:v>35916</c:v>
                </c:pt>
                <c:pt idx="89">
                  <c:v>35947</c:v>
                </c:pt>
                <c:pt idx="90">
                  <c:v>35977</c:v>
                </c:pt>
                <c:pt idx="91">
                  <c:v>36008</c:v>
                </c:pt>
                <c:pt idx="92">
                  <c:v>36039</c:v>
                </c:pt>
                <c:pt idx="93">
                  <c:v>36069</c:v>
                </c:pt>
                <c:pt idx="94">
                  <c:v>36100</c:v>
                </c:pt>
                <c:pt idx="95">
                  <c:v>36130</c:v>
                </c:pt>
                <c:pt idx="96">
                  <c:v>36161</c:v>
                </c:pt>
                <c:pt idx="97">
                  <c:v>36192</c:v>
                </c:pt>
                <c:pt idx="98">
                  <c:v>36220</c:v>
                </c:pt>
                <c:pt idx="99">
                  <c:v>36251</c:v>
                </c:pt>
                <c:pt idx="100">
                  <c:v>36281</c:v>
                </c:pt>
                <c:pt idx="101">
                  <c:v>36312</c:v>
                </c:pt>
                <c:pt idx="102">
                  <c:v>36342</c:v>
                </c:pt>
                <c:pt idx="103">
                  <c:v>36373</c:v>
                </c:pt>
                <c:pt idx="104">
                  <c:v>36404</c:v>
                </c:pt>
                <c:pt idx="105">
                  <c:v>36434</c:v>
                </c:pt>
                <c:pt idx="106">
                  <c:v>36465</c:v>
                </c:pt>
                <c:pt idx="107">
                  <c:v>36495</c:v>
                </c:pt>
                <c:pt idx="108">
                  <c:v>36526</c:v>
                </c:pt>
                <c:pt idx="109">
                  <c:v>36557</c:v>
                </c:pt>
                <c:pt idx="110">
                  <c:v>36586</c:v>
                </c:pt>
                <c:pt idx="111">
                  <c:v>36617</c:v>
                </c:pt>
                <c:pt idx="112">
                  <c:v>36647</c:v>
                </c:pt>
                <c:pt idx="113">
                  <c:v>36678</c:v>
                </c:pt>
                <c:pt idx="114">
                  <c:v>36708</c:v>
                </c:pt>
                <c:pt idx="115">
                  <c:v>36739</c:v>
                </c:pt>
                <c:pt idx="116">
                  <c:v>36770</c:v>
                </c:pt>
                <c:pt idx="117">
                  <c:v>36800</c:v>
                </c:pt>
                <c:pt idx="118">
                  <c:v>36831</c:v>
                </c:pt>
                <c:pt idx="119">
                  <c:v>36861</c:v>
                </c:pt>
                <c:pt idx="120">
                  <c:v>36892</c:v>
                </c:pt>
                <c:pt idx="121">
                  <c:v>36923</c:v>
                </c:pt>
                <c:pt idx="122">
                  <c:v>36951</c:v>
                </c:pt>
                <c:pt idx="123">
                  <c:v>36982</c:v>
                </c:pt>
                <c:pt idx="124">
                  <c:v>37012</c:v>
                </c:pt>
                <c:pt idx="125">
                  <c:v>37043</c:v>
                </c:pt>
                <c:pt idx="126">
                  <c:v>37073</c:v>
                </c:pt>
                <c:pt idx="127">
                  <c:v>37104</c:v>
                </c:pt>
                <c:pt idx="128">
                  <c:v>37135</c:v>
                </c:pt>
                <c:pt idx="129">
                  <c:v>37165</c:v>
                </c:pt>
                <c:pt idx="130">
                  <c:v>37196</c:v>
                </c:pt>
                <c:pt idx="131">
                  <c:v>37226</c:v>
                </c:pt>
                <c:pt idx="132">
                  <c:v>37257</c:v>
                </c:pt>
                <c:pt idx="133">
                  <c:v>37288</c:v>
                </c:pt>
                <c:pt idx="134">
                  <c:v>37316</c:v>
                </c:pt>
                <c:pt idx="135">
                  <c:v>37347</c:v>
                </c:pt>
                <c:pt idx="136">
                  <c:v>37377</c:v>
                </c:pt>
                <c:pt idx="137">
                  <c:v>37408</c:v>
                </c:pt>
                <c:pt idx="138">
                  <c:v>37438</c:v>
                </c:pt>
                <c:pt idx="139">
                  <c:v>37469</c:v>
                </c:pt>
                <c:pt idx="140">
                  <c:v>37500</c:v>
                </c:pt>
                <c:pt idx="141">
                  <c:v>37530</c:v>
                </c:pt>
                <c:pt idx="142">
                  <c:v>37561</c:v>
                </c:pt>
                <c:pt idx="143">
                  <c:v>37591</c:v>
                </c:pt>
                <c:pt idx="144">
                  <c:v>37622</c:v>
                </c:pt>
                <c:pt idx="145">
                  <c:v>37653</c:v>
                </c:pt>
                <c:pt idx="146">
                  <c:v>37681</c:v>
                </c:pt>
                <c:pt idx="147">
                  <c:v>37712</c:v>
                </c:pt>
                <c:pt idx="148">
                  <c:v>37742</c:v>
                </c:pt>
                <c:pt idx="149">
                  <c:v>37773</c:v>
                </c:pt>
                <c:pt idx="150">
                  <c:v>37803</c:v>
                </c:pt>
                <c:pt idx="151">
                  <c:v>37834</c:v>
                </c:pt>
                <c:pt idx="152">
                  <c:v>37865</c:v>
                </c:pt>
                <c:pt idx="153">
                  <c:v>37895</c:v>
                </c:pt>
                <c:pt idx="154">
                  <c:v>37926</c:v>
                </c:pt>
                <c:pt idx="155">
                  <c:v>37956</c:v>
                </c:pt>
                <c:pt idx="156">
                  <c:v>37987</c:v>
                </c:pt>
                <c:pt idx="157">
                  <c:v>38018</c:v>
                </c:pt>
                <c:pt idx="158">
                  <c:v>38047</c:v>
                </c:pt>
              </c:numCache>
            </c:numRef>
          </c:cat>
          <c:val>
            <c:numRef>
              <c:f>Data_Raw!$B$2:$B$160</c:f>
              <c:numCache>
                <c:formatCode>0</c:formatCode>
                <c:ptCount val="159"/>
                <c:pt idx="0">
                  <c:v>1723.9169999999999</c:v>
                </c:pt>
                <c:pt idx="1">
                  <c:v>1637.586</c:v>
                </c:pt>
                <c:pt idx="2">
                  <c:v>1986.7149999999999</c:v>
                </c:pt>
                <c:pt idx="3">
                  <c:v>1824.665</c:v>
                </c:pt>
                <c:pt idx="4">
                  <c:v>1991.9639999999999</c:v>
                </c:pt>
                <c:pt idx="5">
                  <c:v>1879.356</c:v>
                </c:pt>
                <c:pt idx="6">
                  <c:v>1956.86</c:v>
                </c:pt>
                <c:pt idx="7">
                  <c:v>2027.2639999999999</c:v>
                </c:pt>
                <c:pt idx="8">
                  <c:v>1608.6569999999999</c:v>
                </c:pt>
                <c:pt idx="9">
                  <c:v>1739.924</c:v>
                </c:pt>
                <c:pt idx="10">
                  <c:v>1688.6669999999999</c:v>
                </c:pt>
                <c:pt idx="11">
                  <c:v>1830.8630000000001</c:v>
                </c:pt>
                <c:pt idx="12">
                  <c:v>1628.827</c:v>
                </c:pt>
                <c:pt idx="13">
                  <c:v>1574.088</c:v>
                </c:pt>
                <c:pt idx="14">
                  <c:v>1908.223</c:v>
                </c:pt>
                <c:pt idx="15">
                  <c:v>1972.981</c:v>
                </c:pt>
                <c:pt idx="16">
                  <c:v>1898.7139999999999</c:v>
                </c:pt>
                <c:pt idx="17">
                  <c:v>1637.0419999999999</c:v>
                </c:pt>
                <c:pt idx="18">
                  <c:v>1919.309</c:v>
                </c:pt>
                <c:pt idx="19">
                  <c:v>2010.712</c:v>
                </c:pt>
                <c:pt idx="20">
                  <c:v>1719.8969999999999</c:v>
                </c:pt>
                <c:pt idx="21">
                  <c:v>1824</c:v>
                </c:pt>
                <c:pt idx="22">
                  <c:v>1874.6010000000001</c:v>
                </c:pt>
                <c:pt idx="23">
                  <c:v>1890.1220000000001</c:v>
                </c:pt>
                <c:pt idx="24">
                  <c:v>1720.259</c:v>
                </c:pt>
                <c:pt idx="25">
                  <c:v>1631.5350000000001</c:v>
                </c:pt>
                <c:pt idx="26">
                  <c:v>1850.7090000000001</c:v>
                </c:pt>
                <c:pt idx="27">
                  <c:v>1974.0429999999999</c:v>
                </c:pt>
                <c:pt idx="28">
                  <c:v>1932.1849999999999</c:v>
                </c:pt>
                <c:pt idx="29">
                  <c:v>1895.3979999999999</c:v>
                </c:pt>
                <c:pt idx="30">
                  <c:v>1949.009</c:v>
                </c:pt>
                <c:pt idx="31">
                  <c:v>2012.1669999999999</c:v>
                </c:pt>
                <c:pt idx="32">
                  <c:v>1689.8409999999999</c:v>
                </c:pt>
                <c:pt idx="33">
                  <c:v>1769.827</c:v>
                </c:pt>
                <c:pt idx="34">
                  <c:v>1733.377</c:v>
                </c:pt>
                <c:pt idx="35">
                  <c:v>1748.2919999999999</c:v>
                </c:pt>
                <c:pt idx="36">
                  <c:v>1575.365</c:v>
                </c:pt>
                <c:pt idx="37">
                  <c:v>1589.9590000000001</c:v>
                </c:pt>
                <c:pt idx="38">
                  <c:v>1919.6389999999999</c:v>
                </c:pt>
                <c:pt idx="39">
                  <c:v>1849.8879999999999</c:v>
                </c:pt>
                <c:pt idx="40">
                  <c:v>1845.049</c:v>
                </c:pt>
                <c:pt idx="41">
                  <c:v>1790.7550000000001</c:v>
                </c:pt>
                <c:pt idx="42">
                  <c:v>1882.508</c:v>
                </c:pt>
                <c:pt idx="43">
                  <c:v>1921.6079999999999</c:v>
                </c:pt>
                <c:pt idx="44">
                  <c:v>1702.6320000000001</c:v>
                </c:pt>
                <c:pt idx="45">
                  <c:v>1790.546</c:v>
                </c:pt>
                <c:pt idx="46">
                  <c:v>1790.9949999999999</c:v>
                </c:pt>
                <c:pt idx="47">
                  <c:v>1797.35</c:v>
                </c:pt>
                <c:pt idx="48">
                  <c:v>1560.415</c:v>
                </c:pt>
                <c:pt idx="49">
                  <c:v>1509.925</c:v>
                </c:pt>
                <c:pt idx="50">
                  <c:v>1813.316</c:v>
                </c:pt>
                <c:pt idx="51">
                  <c:v>1746.895</c:v>
                </c:pt>
                <c:pt idx="52">
                  <c:v>1785.345</c:v>
                </c:pt>
                <c:pt idx="53">
                  <c:v>1777.2070000000001</c:v>
                </c:pt>
                <c:pt idx="54">
                  <c:v>1804.655</c:v>
                </c:pt>
                <c:pt idx="55">
                  <c:v>1886.82</c:v>
                </c:pt>
                <c:pt idx="56">
                  <c:v>1583.309</c:v>
                </c:pt>
                <c:pt idx="57">
                  <c:v>1663.9480000000001</c:v>
                </c:pt>
                <c:pt idx="58">
                  <c:v>1687.6310000000001</c:v>
                </c:pt>
                <c:pt idx="59">
                  <c:v>1670.845</c:v>
                </c:pt>
                <c:pt idx="60">
                  <c:v>1398.758</c:v>
                </c:pt>
                <c:pt idx="61">
                  <c:v>1375.8520000000001</c:v>
                </c:pt>
                <c:pt idx="62">
                  <c:v>1572.575</c:v>
                </c:pt>
                <c:pt idx="63">
                  <c:v>1620.42</c:v>
                </c:pt>
                <c:pt idx="64">
                  <c:v>1709.6959999999999</c:v>
                </c:pt>
                <c:pt idx="65">
                  <c:v>1709.183</c:v>
                </c:pt>
                <c:pt idx="66">
                  <c:v>1851.5160000000001</c:v>
                </c:pt>
                <c:pt idx="67">
                  <c:v>1958.5730000000001</c:v>
                </c:pt>
                <c:pt idx="68">
                  <c:v>1565.4010000000001</c:v>
                </c:pt>
                <c:pt idx="69">
                  <c:v>1700.508</c:v>
                </c:pt>
                <c:pt idx="70">
                  <c:v>1588.204</c:v>
                </c:pt>
                <c:pt idx="71">
                  <c:v>1713.433</c:v>
                </c:pt>
                <c:pt idx="72">
                  <c:v>1411.588</c:v>
                </c:pt>
                <c:pt idx="73">
                  <c:v>1388.69</c:v>
                </c:pt>
                <c:pt idx="74">
                  <c:v>1720.5219999999999</c:v>
                </c:pt>
                <c:pt idx="75">
                  <c:v>1666.604</c:v>
                </c:pt>
                <c:pt idx="76">
                  <c:v>1779.903</c:v>
                </c:pt>
                <c:pt idx="77">
                  <c:v>1787.8</c:v>
                </c:pt>
                <c:pt idx="78">
                  <c:v>1951.2190000000001</c:v>
                </c:pt>
                <c:pt idx="79">
                  <c:v>2021.0550000000001</c:v>
                </c:pt>
                <c:pt idx="80">
                  <c:v>1629.924</c:v>
                </c:pt>
                <c:pt idx="81">
                  <c:v>1789.91</c:v>
                </c:pt>
                <c:pt idx="82">
                  <c:v>1749.3679999999999</c:v>
                </c:pt>
                <c:pt idx="83">
                  <c:v>1809.626</c:v>
                </c:pt>
                <c:pt idx="84">
                  <c:v>1583.33</c:v>
                </c:pt>
                <c:pt idx="85">
                  <c:v>1424.691</c:v>
                </c:pt>
                <c:pt idx="86">
                  <c:v>1766.6410000000001</c:v>
                </c:pt>
                <c:pt idx="87">
                  <c:v>1841.932</c:v>
                </c:pt>
                <c:pt idx="88">
                  <c:v>1855.289</c:v>
                </c:pt>
                <c:pt idx="89">
                  <c:v>1837.9639999999999</c:v>
                </c:pt>
                <c:pt idx="90">
                  <c:v>1985.172</c:v>
                </c:pt>
                <c:pt idx="91">
                  <c:v>1937.645</c:v>
                </c:pt>
                <c:pt idx="92">
                  <c:v>1684.597</c:v>
                </c:pt>
                <c:pt idx="93">
                  <c:v>1803.4739999999999</c:v>
                </c:pt>
                <c:pt idx="94">
                  <c:v>1828.7139999999999</c:v>
                </c:pt>
                <c:pt idx="95">
                  <c:v>1860.7539999999999</c:v>
                </c:pt>
                <c:pt idx="96">
                  <c:v>1614.4269999999999</c:v>
                </c:pt>
                <c:pt idx="97">
                  <c:v>1561.8040000000001</c:v>
                </c:pt>
                <c:pt idx="98">
                  <c:v>1848.3330000000001</c:v>
                </c:pt>
                <c:pt idx="99">
                  <c:v>1853.72</c:v>
                </c:pt>
                <c:pt idx="100">
                  <c:v>1858.498</c:v>
                </c:pt>
                <c:pt idx="101">
                  <c:v>1876.8520000000001</c:v>
                </c:pt>
                <c:pt idx="102">
                  <c:v>1982.7429999999999</c:v>
                </c:pt>
                <c:pt idx="103">
                  <c:v>1965.002</c:v>
                </c:pt>
                <c:pt idx="104">
                  <c:v>1622.373</c:v>
                </c:pt>
                <c:pt idx="105">
                  <c:v>1819.664</c:v>
                </c:pt>
                <c:pt idx="106">
                  <c:v>1864.309</c:v>
                </c:pt>
                <c:pt idx="107">
                  <c:v>1851.4349999999999</c:v>
                </c:pt>
                <c:pt idx="108">
                  <c:v>1558.66</c:v>
                </c:pt>
                <c:pt idx="109">
                  <c:v>1628.9280000000001</c:v>
                </c:pt>
                <c:pt idx="110">
                  <c:v>1931.538</c:v>
                </c:pt>
                <c:pt idx="111">
                  <c:v>1988.4929999999999</c:v>
                </c:pt>
                <c:pt idx="112">
                  <c:v>2004.3009999999999</c:v>
                </c:pt>
                <c:pt idx="113">
                  <c:v>2024.7629999999999</c:v>
                </c:pt>
                <c:pt idx="114">
                  <c:v>2065.9960000000001</c:v>
                </c:pt>
                <c:pt idx="115">
                  <c:v>2110.471</c:v>
                </c:pt>
                <c:pt idx="116">
                  <c:v>1838.7059999999999</c:v>
                </c:pt>
                <c:pt idx="117">
                  <c:v>1991.9970000000001</c:v>
                </c:pt>
                <c:pt idx="118">
                  <c:v>1996.4079999999999</c:v>
                </c:pt>
                <c:pt idx="119">
                  <c:v>2015.153</c:v>
                </c:pt>
                <c:pt idx="120">
                  <c:v>1696.1479999999999</c:v>
                </c:pt>
                <c:pt idx="121">
                  <c:v>1675.404</c:v>
                </c:pt>
                <c:pt idx="122">
                  <c:v>2021.9280000000001</c:v>
                </c:pt>
                <c:pt idx="123">
                  <c:v>2035.7919999999999</c:v>
                </c:pt>
                <c:pt idx="124">
                  <c:v>2060.0079999999998</c:v>
                </c:pt>
                <c:pt idx="125">
                  <c:v>2086.913</c:v>
                </c:pt>
                <c:pt idx="126">
                  <c:v>2140.7170000000001</c:v>
                </c:pt>
                <c:pt idx="127">
                  <c:v>2219.6379999999999</c:v>
                </c:pt>
                <c:pt idx="128">
                  <c:v>1719.693</c:v>
                </c:pt>
                <c:pt idx="129">
                  <c:v>1966.7159999999999</c:v>
                </c:pt>
                <c:pt idx="130">
                  <c:v>1990.614</c:v>
                </c:pt>
                <c:pt idx="131">
                  <c:v>2000.729</c:v>
                </c:pt>
                <c:pt idx="132">
                  <c:v>1776.6289999999999</c:v>
                </c:pt>
                <c:pt idx="133">
                  <c:v>1785.595</c:v>
                </c:pt>
                <c:pt idx="134">
                  <c:v>2031.912</c:v>
                </c:pt>
                <c:pt idx="135">
                  <c:v>2063.3980000000001</c:v>
                </c:pt>
                <c:pt idx="136">
                  <c:v>2085.7629999999999</c:v>
                </c:pt>
                <c:pt idx="137">
                  <c:v>2011.2670000000001</c:v>
                </c:pt>
                <c:pt idx="138">
                  <c:v>2089.2579999999998</c:v>
                </c:pt>
                <c:pt idx="139">
                  <c:v>2043.56</c:v>
                </c:pt>
                <c:pt idx="140">
                  <c:v>1746.155</c:v>
                </c:pt>
                <c:pt idx="141">
                  <c:v>1929.771</c:v>
                </c:pt>
                <c:pt idx="142">
                  <c:v>1874.345</c:v>
                </c:pt>
                <c:pt idx="143">
                  <c:v>2010.3520000000001</c:v>
                </c:pt>
                <c:pt idx="144">
                  <c:v>1794.0329999999999</c:v>
                </c:pt>
                <c:pt idx="145">
                  <c:v>1762.489</c:v>
                </c:pt>
                <c:pt idx="146">
                  <c:v>2082.4659999999999</c:v>
                </c:pt>
                <c:pt idx="147">
                  <c:v>2115.8989999999999</c:v>
                </c:pt>
                <c:pt idx="148">
                  <c:v>2120.9110000000001</c:v>
                </c:pt>
                <c:pt idx="149">
                  <c:v>2143.6709999999998</c:v>
                </c:pt>
                <c:pt idx="150">
                  <c:v>2236.3490000000002</c:v>
                </c:pt>
                <c:pt idx="151">
                  <c:v>2189.36</c:v>
                </c:pt>
                <c:pt idx="152">
                  <c:v>1943.4059999999999</c:v>
                </c:pt>
                <c:pt idx="153">
                  <c:v>2135.4699999999998</c:v>
                </c:pt>
                <c:pt idx="154">
                  <c:v>2091.0540000000001</c:v>
                </c:pt>
                <c:pt idx="155">
                  <c:v>2154.6770000000001</c:v>
                </c:pt>
                <c:pt idx="156">
                  <c:v>1847.508</c:v>
                </c:pt>
                <c:pt idx="157">
                  <c:v>1852.0060000000001</c:v>
                </c:pt>
                <c:pt idx="158">
                  <c:v>2145.4459999999999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27-4519-91E2-4554E05AC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8932960"/>
        <c:axId val="368935040"/>
      </c:lineChart>
      <c:dateAx>
        <c:axId val="368932960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935040"/>
        <c:crosses val="autoZero"/>
        <c:auto val="1"/>
        <c:lblOffset val="100"/>
        <c:baseTimeUnit val="months"/>
      </c:dateAx>
      <c:valAx>
        <c:axId val="368935040"/>
        <c:scaling>
          <c:orientation val="minMax"/>
          <c:min val="1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932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14</xdr:col>
      <xdr:colOff>635000</xdr:colOff>
      <xdr:row>15</xdr:row>
      <xdr:rowOff>184150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60B110E-5D89-45ED-A130-5A1D4B8646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2" xr:uid="{E2EEEAA4-6CBB-4863-B819-A6D5D09DC5C3}" name="ACF: Training" displayName="ACF__Training_1" ref="C29:D42" totalsRowShown="0">
  <autoFilter ref="C29:D42" xr:uid="{E4FA1C07-561A-49AA-8949-4D4DDF97D9F7}"/>
  <tableColumns count="2">
    <tableColumn id="1" xr3:uid="{4D67FA0F-A4A2-4409-8489-52250513E38B}" name="Record ID" dataDxfId="32"/>
    <tableColumn id="2" xr3:uid="{7E9D6D85-46DF-48BF-AD2B-7E06283E7AEC}" name="ACF" dataDxfId="31"/>
  </tableColumns>
  <tableStyleInfo name="TableStyleMedium9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3" xr:uid="{C4417643-0626-4B8D-AD11-DB3DCCA13A99}" name="ACVF: Training" displayName="ACVF__Training_1" ref="G29:H42" totalsRowShown="0">
  <autoFilter ref="G29:H42" xr:uid="{56BC9471-4E06-40A3-B92B-B98BE53653C1}"/>
  <tableColumns count="2">
    <tableColumn id="1" xr3:uid="{4D68A796-D3BE-4F10-9679-57D16379CFE6}" name="Record ID" dataDxfId="30"/>
    <tableColumn id="2" xr3:uid="{C8453E9B-628C-4EE2-BD5C-4B8DC4C4D918}" name="ACVF" dataDxfId="29"/>
  </tableColumns>
  <tableStyleInfo name="TableStyleMedium9" showFirstColumn="1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4" xr:uid="{876C6EAC-59EE-4C52-98B0-EC4BF5B6257F}" name="PACF: Training" displayName="PACF__Training_1" ref="K29:L42" totalsRowShown="0">
  <autoFilter ref="K29:L42" xr:uid="{F8A8F025-D31C-41F3-A6C6-3859D9348B39}"/>
  <tableColumns count="2">
    <tableColumn id="1" xr3:uid="{42C59994-8117-441F-AB4A-D7B7B34EC5B9}" name="Record ID" dataDxfId="28"/>
    <tableColumn id="2" xr3:uid="{B44F4FF2-0980-4978-B535-3ADA8E58B83E}" name="PACF" dataDxfId="27"/>
  </tableColumns>
  <tableStyleInfo name="TableStyleMedium9" showFirstColumn="1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" xr:uid="{2561227D-77E2-4016-A1DE-B7EECB5EC830}" name="ACF: Training" displayName="ACF__Training" ref="C29:D50" totalsRowShown="0">
  <autoFilter ref="C29:D50" xr:uid="{DE695CEA-9266-4BD8-8E28-5CA6DB2363AE}"/>
  <tableColumns count="2">
    <tableColumn id="1" xr3:uid="{99D177E4-B10B-48FB-92D8-E8F8D30917C9}" name="Record ID" dataDxfId="26"/>
    <tableColumn id="2" xr3:uid="{E2683780-5BA7-4247-A08B-87D87FB4824C}" name="ACF" dataDxfId="25"/>
  </tableColumns>
  <tableStyleInfo name="TableStyleMedium9" showFirstColumn="1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0" xr:uid="{9B9764ED-BF3B-4688-AAC9-7EE3D162C989}" name="ACVF: Training" displayName="ACVF__Training" ref="G29:H50" totalsRowShown="0">
  <autoFilter ref="G29:H50" xr:uid="{FA12E6E9-4CFB-4080-8110-D4C990E06982}"/>
  <tableColumns count="2">
    <tableColumn id="1" xr3:uid="{4FBE483A-1070-41E3-BBAA-5CF4F4097153}" name="Record ID" dataDxfId="24"/>
    <tableColumn id="2" xr3:uid="{8457CA86-085F-4A1E-8BE4-C3A2B2FA8AF8}" name="ACVF" dataDxfId="23"/>
  </tableColumns>
  <tableStyleInfo name="TableStyleMedium9" showFirstColumn="1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1" xr:uid="{55C68DF4-C757-42E2-92B4-A0D426167881}" name="PACF: Training" displayName="PACF__Training" ref="K29:L50" totalsRowShown="0">
  <autoFilter ref="K29:L50" xr:uid="{E77DD300-555C-45D1-B228-A62EAE5D82C5}"/>
  <tableColumns count="2">
    <tableColumn id="1" xr3:uid="{ABC7C7E8-0694-4994-BA73-7487C41AD510}" name="Record ID" dataDxfId="22"/>
    <tableColumn id="2" xr3:uid="{5B3CB379-E9D5-4F0F-A337-3D887CEE12AF}" name="PACF" dataDxfId="21"/>
  </tableColumns>
  <tableStyleInfo name="TableStyleMedium9" showFirstColumn="1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B82070EE-C6D5-4CDB-9F39-669D19B59EC5}" name="Partition Summary" displayName="Partition_Summary_6" ref="C30:D32" totalsRowShown="0">
  <autoFilter ref="C30:D32" xr:uid="{166C1376-0B33-4AB8-AB85-0FB4746FC732}"/>
  <tableColumns count="2">
    <tableColumn id="1" xr3:uid="{967705B8-A2BD-4A02-BE99-47AC3A5557F9}" name="Partition" dataDxfId="18"/>
    <tableColumn id="2" xr3:uid="{51C7B8E9-964A-45E7-BDC9-97F856C7F427}" name="# Records" dataDxfId="17"/>
  </tableColumns>
  <tableStyleInfo name="TableStyleMedium9" showFirstColumn="1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4E2D9C78-9BE1-40A2-8F7F-CC9414986A10}" name="Partitioned Data" displayName="Partitioned_Data_6" ref="C36:R195" totalsRowShown="0" dataDxfId="16">
  <autoFilter ref="C36:R195" xr:uid="{B04F3EEC-66F1-4B4B-A69B-4A29971B5339}"/>
  <tableColumns count="16">
    <tableColumn id="1" xr3:uid="{2D0FEED9-CBBF-4491-A569-3CA61C2C08BC}" name="Record ID" dataDxfId="15"/>
    <tableColumn id="2" xr3:uid="{59C6AD1C-B41D-4436-AB91-B1AC1AEE94F3}" name="T" dataDxfId="14"/>
    <tableColumn id="3" xr3:uid="{3F4FFD90-120F-4C9F-A3FD-971DE5661724}" name="Travellers('000)" dataDxfId="13"/>
    <tableColumn id="4" xr3:uid="{B3DD2B45-96D6-4D3A-9688-EA7CEEE0A94D}" name="T2" dataDxfId="12"/>
    <tableColumn id="5" xr3:uid="{5A3C074D-9EF8-42D7-B690-5781606879D5}" name="D1" dataDxfId="11"/>
    <tableColumn id="6" xr3:uid="{32FDDDD0-58A8-4C1C-8199-46FD19EB3C96}" name="D2" dataDxfId="10"/>
    <tableColumn id="7" xr3:uid="{0B06F2A1-5225-473A-A50D-51FAFD95939C}" name="D3" dataDxfId="9"/>
    <tableColumn id="8" xr3:uid="{76B596D0-383D-4DC1-A4D3-A0839E98CC34}" name="D4" dataDxfId="8"/>
    <tableColumn id="9" xr3:uid="{58839639-10A1-4DAD-AB37-939CE0CC96A7}" name="D5" dataDxfId="7"/>
    <tableColumn id="10" xr3:uid="{32F870AD-A263-408C-A901-08C41791BA95}" name="D6" dataDxfId="6"/>
    <tableColumn id="11" xr3:uid="{2FB1C421-7AB9-47AA-B205-F7142BF988F1}" name="D7" dataDxfId="5"/>
    <tableColumn id="12" xr3:uid="{8512CEC0-705E-4E76-B4F0-4583726B8007}" name="D8" dataDxfId="4"/>
    <tableColumn id="13" xr3:uid="{A32DBFBE-1B3E-4761-9BB9-ABF35A0E63E5}" name="D9" dataDxfId="3"/>
    <tableColumn id="14" xr3:uid="{D0B67DC7-5DAC-4527-B0EA-53B5290F5152}" name="D10" dataDxfId="2"/>
    <tableColumn id="15" xr3:uid="{2A684581-1C32-4C07-9615-456F39191D79}" name="D11" dataDxfId="1"/>
    <tableColumn id="16" xr3:uid="{8275C880-AD99-40A0-9131-5705055F7380}" name="D12" dataDxfId="0"/>
  </tableColumns>
  <tableStyleInfo name="TableStyleMedium9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7BAC0-7BC0-48DB-94D9-F00085E840D1}">
  <dimension ref="A1:E160"/>
  <sheetViews>
    <sheetView tabSelected="1" workbookViewId="0">
      <selection activeCell="D5" sqref="D5"/>
    </sheetView>
  </sheetViews>
  <sheetFormatPr defaultColWidth="9" defaultRowHeight="15.5" x14ac:dyDescent="0.35"/>
  <cols>
    <col min="1" max="1" width="9" style="1"/>
    <col min="2" max="2" width="12.75" style="1" bestFit="1" customWidth="1"/>
    <col min="3" max="3" width="14.6640625" style="1" customWidth="1"/>
    <col min="4" max="16384" width="9" style="1"/>
  </cols>
  <sheetData>
    <row r="1" spans="1:5" x14ac:dyDescent="0.35">
      <c r="A1" s="2" t="s">
        <v>0</v>
      </c>
      <c r="B1" s="2" t="s">
        <v>1</v>
      </c>
      <c r="C1" s="41" t="s">
        <v>243</v>
      </c>
      <c r="D1" s="41" t="s">
        <v>244</v>
      </c>
      <c r="E1" s="39" t="s">
        <v>245</v>
      </c>
    </row>
    <row r="2" spans="1:5" x14ac:dyDescent="0.35">
      <c r="A2" s="3">
        <v>33239</v>
      </c>
      <c r="B2" s="4">
        <v>1723.9169999999999</v>
      </c>
      <c r="C2" s="38">
        <f>AVERAGE(B:B)</f>
        <v>1836.7317987421379</v>
      </c>
    </row>
    <row r="3" spans="1:5" x14ac:dyDescent="0.35">
      <c r="A3" s="3">
        <v>33270</v>
      </c>
      <c r="B3" s="4">
        <v>1637.586</v>
      </c>
      <c r="C3" s="38">
        <f t="shared" ref="C3:C66" si="0">AVERAGE(B:B)</f>
        <v>1836.7317987421379</v>
      </c>
    </row>
    <row r="4" spans="1:5" x14ac:dyDescent="0.35">
      <c r="A4" s="3">
        <v>33298</v>
      </c>
      <c r="B4" s="4">
        <v>1986.7149999999999</v>
      </c>
      <c r="C4" s="38">
        <f t="shared" si="0"/>
        <v>1836.7317987421379</v>
      </c>
    </row>
    <row r="5" spans="1:5" x14ac:dyDescent="0.35">
      <c r="A5" s="3">
        <v>33329</v>
      </c>
      <c r="B5" s="4">
        <v>1824.665</v>
      </c>
      <c r="C5" s="38">
        <f t="shared" si="0"/>
        <v>1836.7317987421379</v>
      </c>
      <c r="D5" s="40"/>
    </row>
    <row r="6" spans="1:5" x14ac:dyDescent="0.35">
      <c r="A6" s="3">
        <v>33359</v>
      </c>
      <c r="B6" s="4">
        <v>1991.9639999999999</v>
      </c>
      <c r="C6" s="38">
        <f t="shared" si="0"/>
        <v>1836.7317987421379</v>
      </c>
    </row>
    <row r="7" spans="1:5" x14ac:dyDescent="0.35">
      <c r="A7" s="3">
        <v>33390</v>
      </c>
      <c r="B7" s="4">
        <v>1879.356</v>
      </c>
      <c r="C7" s="38">
        <f t="shared" si="0"/>
        <v>1836.7317987421379</v>
      </c>
    </row>
    <row r="8" spans="1:5" x14ac:dyDescent="0.35">
      <c r="A8" s="3">
        <v>33420</v>
      </c>
      <c r="B8" s="4">
        <v>1956.86</v>
      </c>
      <c r="C8" s="38">
        <f t="shared" si="0"/>
        <v>1836.7317987421379</v>
      </c>
    </row>
    <row r="9" spans="1:5" x14ac:dyDescent="0.35">
      <c r="A9" s="3">
        <v>33451</v>
      </c>
      <c r="B9" s="4">
        <v>2027.2639999999999</v>
      </c>
      <c r="C9" s="38">
        <f t="shared" si="0"/>
        <v>1836.7317987421379</v>
      </c>
    </row>
    <row r="10" spans="1:5" x14ac:dyDescent="0.35">
      <c r="A10" s="3">
        <v>33482</v>
      </c>
      <c r="B10" s="4">
        <v>1608.6569999999999</v>
      </c>
      <c r="C10" s="38">
        <f t="shared" si="0"/>
        <v>1836.7317987421379</v>
      </c>
    </row>
    <row r="11" spans="1:5" x14ac:dyDescent="0.35">
      <c r="A11" s="3">
        <v>33512</v>
      </c>
      <c r="B11" s="4">
        <v>1739.924</v>
      </c>
      <c r="C11" s="38">
        <f t="shared" si="0"/>
        <v>1836.7317987421379</v>
      </c>
    </row>
    <row r="12" spans="1:5" x14ac:dyDescent="0.35">
      <c r="A12" s="3">
        <v>33543</v>
      </c>
      <c r="B12" s="4">
        <v>1688.6669999999999</v>
      </c>
      <c r="C12" s="38">
        <f t="shared" si="0"/>
        <v>1836.7317987421379</v>
      </c>
    </row>
    <row r="13" spans="1:5" x14ac:dyDescent="0.35">
      <c r="A13" s="3">
        <v>33573</v>
      </c>
      <c r="B13" s="4">
        <v>1830.8630000000001</v>
      </c>
      <c r="C13" s="38">
        <f t="shared" si="0"/>
        <v>1836.7317987421379</v>
      </c>
    </row>
    <row r="14" spans="1:5" x14ac:dyDescent="0.35">
      <c r="A14" s="3">
        <v>33604</v>
      </c>
      <c r="B14" s="4">
        <v>1628.827</v>
      </c>
      <c r="C14" s="38">
        <f t="shared" si="0"/>
        <v>1836.7317987421379</v>
      </c>
    </row>
    <row r="15" spans="1:5" x14ac:dyDescent="0.35">
      <c r="A15" s="3">
        <v>33635</v>
      </c>
      <c r="B15" s="4">
        <v>1574.088</v>
      </c>
      <c r="C15" s="38">
        <f t="shared" si="0"/>
        <v>1836.7317987421379</v>
      </c>
    </row>
    <row r="16" spans="1:5" x14ac:dyDescent="0.35">
      <c r="A16" s="3">
        <v>33664</v>
      </c>
      <c r="B16" s="4">
        <v>1908.223</v>
      </c>
      <c r="C16" s="38">
        <f t="shared" si="0"/>
        <v>1836.7317987421379</v>
      </c>
    </row>
    <row r="17" spans="1:3" x14ac:dyDescent="0.35">
      <c r="A17" s="3">
        <v>33695</v>
      </c>
      <c r="B17" s="4">
        <v>1972.981</v>
      </c>
      <c r="C17" s="38">
        <f t="shared" si="0"/>
        <v>1836.7317987421379</v>
      </c>
    </row>
    <row r="18" spans="1:3" x14ac:dyDescent="0.35">
      <c r="A18" s="3">
        <v>33725</v>
      </c>
      <c r="B18" s="4">
        <v>1898.7139999999999</v>
      </c>
      <c r="C18" s="38">
        <f t="shared" si="0"/>
        <v>1836.7317987421379</v>
      </c>
    </row>
    <row r="19" spans="1:3" x14ac:dyDescent="0.35">
      <c r="A19" s="3">
        <v>33756</v>
      </c>
      <c r="B19" s="4">
        <v>1637.0419999999999</v>
      </c>
      <c r="C19" s="38">
        <f t="shared" si="0"/>
        <v>1836.7317987421379</v>
      </c>
    </row>
    <row r="20" spans="1:3" x14ac:dyDescent="0.35">
      <c r="A20" s="3">
        <v>33786</v>
      </c>
      <c r="B20" s="4">
        <v>1919.309</v>
      </c>
      <c r="C20" s="38">
        <f t="shared" si="0"/>
        <v>1836.7317987421379</v>
      </c>
    </row>
    <row r="21" spans="1:3" x14ac:dyDescent="0.35">
      <c r="A21" s="3">
        <v>33817</v>
      </c>
      <c r="B21" s="4">
        <v>2010.712</v>
      </c>
      <c r="C21" s="38">
        <f t="shared" si="0"/>
        <v>1836.7317987421379</v>
      </c>
    </row>
    <row r="22" spans="1:3" x14ac:dyDescent="0.35">
      <c r="A22" s="3">
        <v>33848</v>
      </c>
      <c r="B22" s="4">
        <v>1719.8969999999999</v>
      </c>
      <c r="C22" s="38">
        <f t="shared" si="0"/>
        <v>1836.7317987421379</v>
      </c>
    </row>
    <row r="23" spans="1:3" x14ac:dyDescent="0.35">
      <c r="A23" s="3">
        <v>33878</v>
      </c>
      <c r="B23" s="4">
        <v>1824</v>
      </c>
      <c r="C23" s="38">
        <f t="shared" si="0"/>
        <v>1836.7317987421379</v>
      </c>
    </row>
    <row r="24" spans="1:3" x14ac:dyDescent="0.35">
      <c r="A24" s="3">
        <v>33909</v>
      </c>
      <c r="B24" s="4">
        <v>1874.6010000000001</v>
      </c>
      <c r="C24" s="38">
        <f t="shared" si="0"/>
        <v>1836.7317987421379</v>
      </c>
    </row>
    <row r="25" spans="1:3" x14ac:dyDescent="0.35">
      <c r="A25" s="3">
        <v>33939</v>
      </c>
      <c r="B25" s="4">
        <v>1890.1220000000001</v>
      </c>
      <c r="C25" s="38">
        <f t="shared" si="0"/>
        <v>1836.7317987421379</v>
      </c>
    </row>
    <row r="26" spans="1:3" x14ac:dyDescent="0.35">
      <c r="A26" s="3">
        <v>33970</v>
      </c>
      <c r="B26" s="4">
        <v>1720.259</v>
      </c>
      <c r="C26" s="38">
        <f t="shared" si="0"/>
        <v>1836.7317987421379</v>
      </c>
    </row>
    <row r="27" spans="1:3" x14ac:dyDescent="0.35">
      <c r="A27" s="3">
        <v>34001</v>
      </c>
      <c r="B27" s="4">
        <v>1631.5350000000001</v>
      </c>
      <c r="C27" s="38">
        <f t="shared" si="0"/>
        <v>1836.7317987421379</v>
      </c>
    </row>
    <row r="28" spans="1:3" x14ac:dyDescent="0.35">
      <c r="A28" s="3">
        <v>34029</v>
      </c>
      <c r="B28" s="4">
        <v>1850.7090000000001</v>
      </c>
      <c r="C28" s="38">
        <f t="shared" si="0"/>
        <v>1836.7317987421379</v>
      </c>
    </row>
    <row r="29" spans="1:3" x14ac:dyDescent="0.35">
      <c r="A29" s="3">
        <v>34060</v>
      </c>
      <c r="B29" s="4">
        <v>1974.0429999999999</v>
      </c>
      <c r="C29" s="38">
        <f t="shared" si="0"/>
        <v>1836.7317987421379</v>
      </c>
    </row>
    <row r="30" spans="1:3" x14ac:dyDescent="0.35">
      <c r="A30" s="3">
        <v>34090</v>
      </c>
      <c r="B30" s="4">
        <v>1932.1849999999999</v>
      </c>
      <c r="C30" s="38">
        <f t="shared" si="0"/>
        <v>1836.7317987421379</v>
      </c>
    </row>
    <row r="31" spans="1:3" x14ac:dyDescent="0.35">
      <c r="A31" s="3">
        <v>34121</v>
      </c>
      <c r="B31" s="4">
        <v>1895.3979999999999</v>
      </c>
      <c r="C31" s="38">
        <f t="shared" si="0"/>
        <v>1836.7317987421379</v>
      </c>
    </row>
    <row r="32" spans="1:3" x14ac:dyDescent="0.35">
      <c r="A32" s="3">
        <v>34151</v>
      </c>
      <c r="B32" s="4">
        <v>1949.009</v>
      </c>
      <c r="C32" s="38">
        <f t="shared" si="0"/>
        <v>1836.7317987421379</v>
      </c>
    </row>
    <row r="33" spans="1:3" x14ac:dyDescent="0.35">
      <c r="A33" s="3">
        <v>34182</v>
      </c>
      <c r="B33" s="4">
        <v>2012.1669999999999</v>
      </c>
      <c r="C33" s="38">
        <f t="shared" si="0"/>
        <v>1836.7317987421379</v>
      </c>
    </row>
    <row r="34" spans="1:3" x14ac:dyDescent="0.35">
      <c r="A34" s="3">
        <v>34213</v>
      </c>
      <c r="B34" s="4">
        <v>1689.8409999999999</v>
      </c>
      <c r="C34" s="38">
        <f t="shared" si="0"/>
        <v>1836.7317987421379</v>
      </c>
    </row>
    <row r="35" spans="1:3" x14ac:dyDescent="0.35">
      <c r="A35" s="3">
        <v>34243</v>
      </c>
      <c r="B35" s="4">
        <v>1769.827</v>
      </c>
      <c r="C35" s="38">
        <f t="shared" si="0"/>
        <v>1836.7317987421379</v>
      </c>
    </row>
    <row r="36" spans="1:3" x14ac:dyDescent="0.35">
      <c r="A36" s="3">
        <v>34274</v>
      </c>
      <c r="B36" s="4">
        <v>1733.377</v>
      </c>
      <c r="C36" s="38">
        <f t="shared" si="0"/>
        <v>1836.7317987421379</v>
      </c>
    </row>
    <row r="37" spans="1:3" x14ac:dyDescent="0.35">
      <c r="A37" s="3">
        <v>34304</v>
      </c>
      <c r="B37" s="4">
        <v>1748.2919999999999</v>
      </c>
      <c r="C37" s="38">
        <f t="shared" si="0"/>
        <v>1836.7317987421379</v>
      </c>
    </row>
    <row r="38" spans="1:3" x14ac:dyDescent="0.35">
      <c r="A38" s="3">
        <v>34335</v>
      </c>
      <c r="B38" s="4">
        <v>1575.365</v>
      </c>
      <c r="C38" s="38">
        <f t="shared" si="0"/>
        <v>1836.7317987421379</v>
      </c>
    </row>
    <row r="39" spans="1:3" x14ac:dyDescent="0.35">
      <c r="A39" s="3">
        <v>34366</v>
      </c>
      <c r="B39" s="4">
        <v>1589.9590000000001</v>
      </c>
      <c r="C39" s="38">
        <f t="shared" si="0"/>
        <v>1836.7317987421379</v>
      </c>
    </row>
    <row r="40" spans="1:3" x14ac:dyDescent="0.35">
      <c r="A40" s="3">
        <v>34394</v>
      </c>
      <c r="B40" s="4">
        <v>1919.6389999999999</v>
      </c>
      <c r="C40" s="38">
        <f t="shared" si="0"/>
        <v>1836.7317987421379</v>
      </c>
    </row>
    <row r="41" spans="1:3" x14ac:dyDescent="0.35">
      <c r="A41" s="3">
        <v>34425</v>
      </c>
      <c r="B41" s="4">
        <v>1849.8879999999999</v>
      </c>
      <c r="C41" s="38">
        <f t="shared" si="0"/>
        <v>1836.7317987421379</v>
      </c>
    </row>
    <row r="42" spans="1:3" x14ac:dyDescent="0.35">
      <c r="A42" s="3">
        <v>34455</v>
      </c>
      <c r="B42" s="4">
        <v>1845.049</v>
      </c>
      <c r="C42" s="38">
        <f t="shared" si="0"/>
        <v>1836.7317987421379</v>
      </c>
    </row>
    <row r="43" spans="1:3" x14ac:dyDescent="0.35">
      <c r="A43" s="3">
        <v>34486</v>
      </c>
      <c r="B43" s="4">
        <v>1790.7550000000001</v>
      </c>
      <c r="C43" s="38">
        <f t="shared" si="0"/>
        <v>1836.7317987421379</v>
      </c>
    </row>
    <row r="44" spans="1:3" x14ac:dyDescent="0.35">
      <c r="A44" s="3">
        <v>34516</v>
      </c>
      <c r="B44" s="4">
        <v>1882.508</v>
      </c>
      <c r="C44" s="38">
        <f t="shared" si="0"/>
        <v>1836.7317987421379</v>
      </c>
    </row>
    <row r="45" spans="1:3" x14ac:dyDescent="0.35">
      <c r="A45" s="3">
        <v>34547</v>
      </c>
      <c r="B45" s="4">
        <v>1921.6079999999999</v>
      </c>
      <c r="C45" s="38">
        <f t="shared" si="0"/>
        <v>1836.7317987421379</v>
      </c>
    </row>
    <row r="46" spans="1:3" x14ac:dyDescent="0.35">
      <c r="A46" s="3">
        <v>34578</v>
      </c>
      <c r="B46" s="4">
        <v>1702.6320000000001</v>
      </c>
      <c r="C46" s="38">
        <f t="shared" si="0"/>
        <v>1836.7317987421379</v>
      </c>
    </row>
    <row r="47" spans="1:3" x14ac:dyDescent="0.35">
      <c r="A47" s="3">
        <v>34608</v>
      </c>
      <c r="B47" s="4">
        <v>1790.546</v>
      </c>
      <c r="C47" s="38">
        <f t="shared" si="0"/>
        <v>1836.7317987421379</v>
      </c>
    </row>
    <row r="48" spans="1:3" x14ac:dyDescent="0.35">
      <c r="A48" s="3">
        <v>34639</v>
      </c>
      <c r="B48" s="4">
        <v>1790.9949999999999</v>
      </c>
      <c r="C48" s="38">
        <f t="shared" si="0"/>
        <v>1836.7317987421379</v>
      </c>
    </row>
    <row r="49" spans="1:3" x14ac:dyDescent="0.35">
      <c r="A49" s="3">
        <v>34669</v>
      </c>
      <c r="B49" s="4">
        <v>1797.35</v>
      </c>
      <c r="C49" s="38">
        <f t="shared" si="0"/>
        <v>1836.7317987421379</v>
      </c>
    </row>
    <row r="50" spans="1:3" x14ac:dyDescent="0.35">
      <c r="A50" s="3">
        <v>34700</v>
      </c>
      <c r="B50" s="4">
        <v>1560.415</v>
      </c>
      <c r="C50" s="38">
        <f t="shared" si="0"/>
        <v>1836.7317987421379</v>
      </c>
    </row>
    <row r="51" spans="1:3" x14ac:dyDescent="0.35">
      <c r="A51" s="3">
        <v>34731</v>
      </c>
      <c r="B51" s="4">
        <v>1509.925</v>
      </c>
      <c r="C51" s="38">
        <f t="shared" si="0"/>
        <v>1836.7317987421379</v>
      </c>
    </row>
    <row r="52" spans="1:3" x14ac:dyDescent="0.35">
      <c r="A52" s="3">
        <v>34759</v>
      </c>
      <c r="B52" s="4">
        <v>1813.316</v>
      </c>
      <c r="C52" s="38">
        <f t="shared" si="0"/>
        <v>1836.7317987421379</v>
      </c>
    </row>
    <row r="53" spans="1:3" x14ac:dyDescent="0.35">
      <c r="A53" s="3">
        <v>34790</v>
      </c>
      <c r="B53" s="4">
        <v>1746.895</v>
      </c>
      <c r="C53" s="38">
        <f t="shared" si="0"/>
        <v>1836.7317987421379</v>
      </c>
    </row>
    <row r="54" spans="1:3" x14ac:dyDescent="0.35">
      <c r="A54" s="3">
        <v>34820</v>
      </c>
      <c r="B54" s="4">
        <v>1785.345</v>
      </c>
      <c r="C54" s="38">
        <f t="shared" si="0"/>
        <v>1836.7317987421379</v>
      </c>
    </row>
    <row r="55" spans="1:3" x14ac:dyDescent="0.35">
      <c r="A55" s="3">
        <v>34851</v>
      </c>
      <c r="B55" s="4">
        <v>1777.2070000000001</v>
      </c>
      <c r="C55" s="38">
        <f t="shared" si="0"/>
        <v>1836.7317987421379</v>
      </c>
    </row>
    <row r="56" spans="1:3" x14ac:dyDescent="0.35">
      <c r="A56" s="3">
        <v>34881</v>
      </c>
      <c r="B56" s="4">
        <v>1804.655</v>
      </c>
      <c r="C56" s="38">
        <f t="shared" si="0"/>
        <v>1836.7317987421379</v>
      </c>
    </row>
    <row r="57" spans="1:3" x14ac:dyDescent="0.35">
      <c r="A57" s="3">
        <v>34912</v>
      </c>
      <c r="B57" s="4">
        <v>1886.82</v>
      </c>
      <c r="C57" s="38">
        <f t="shared" si="0"/>
        <v>1836.7317987421379</v>
      </c>
    </row>
    <row r="58" spans="1:3" x14ac:dyDescent="0.35">
      <c r="A58" s="3">
        <v>34943</v>
      </c>
      <c r="B58" s="4">
        <v>1583.309</v>
      </c>
      <c r="C58" s="38">
        <f t="shared" si="0"/>
        <v>1836.7317987421379</v>
      </c>
    </row>
    <row r="59" spans="1:3" x14ac:dyDescent="0.35">
      <c r="A59" s="3">
        <v>34973</v>
      </c>
      <c r="B59" s="4">
        <v>1663.9480000000001</v>
      </c>
      <c r="C59" s="38">
        <f t="shared" si="0"/>
        <v>1836.7317987421379</v>
      </c>
    </row>
    <row r="60" spans="1:3" x14ac:dyDescent="0.35">
      <c r="A60" s="3">
        <v>35004</v>
      </c>
      <c r="B60" s="4">
        <v>1687.6310000000001</v>
      </c>
      <c r="C60" s="38">
        <f t="shared" si="0"/>
        <v>1836.7317987421379</v>
      </c>
    </row>
    <row r="61" spans="1:3" x14ac:dyDescent="0.35">
      <c r="A61" s="3">
        <v>35034</v>
      </c>
      <c r="B61" s="4">
        <v>1670.845</v>
      </c>
      <c r="C61" s="38">
        <f t="shared" si="0"/>
        <v>1836.7317987421379</v>
      </c>
    </row>
    <row r="62" spans="1:3" x14ac:dyDescent="0.35">
      <c r="A62" s="3">
        <v>35065</v>
      </c>
      <c r="B62" s="4">
        <v>1398.758</v>
      </c>
      <c r="C62" s="38">
        <f t="shared" si="0"/>
        <v>1836.7317987421379</v>
      </c>
    </row>
    <row r="63" spans="1:3" x14ac:dyDescent="0.35">
      <c r="A63" s="3">
        <v>35096</v>
      </c>
      <c r="B63" s="4">
        <v>1375.8520000000001</v>
      </c>
      <c r="C63" s="38">
        <f t="shared" si="0"/>
        <v>1836.7317987421379</v>
      </c>
    </row>
    <row r="64" spans="1:3" x14ac:dyDescent="0.35">
      <c r="A64" s="3">
        <v>35125</v>
      </c>
      <c r="B64" s="4">
        <v>1572.575</v>
      </c>
      <c r="C64" s="38">
        <f t="shared" si="0"/>
        <v>1836.7317987421379</v>
      </c>
    </row>
    <row r="65" spans="1:3" x14ac:dyDescent="0.35">
      <c r="A65" s="3">
        <v>35156</v>
      </c>
      <c r="B65" s="4">
        <v>1620.42</v>
      </c>
      <c r="C65" s="38">
        <f t="shared" si="0"/>
        <v>1836.7317987421379</v>
      </c>
    </row>
    <row r="66" spans="1:3" x14ac:dyDescent="0.35">
      <c r="A66" s="3">
        <v>35186</v>
      </c>
      <c r="B66" s="4">
        <v>1709.6959999999999</v>
      </c>
      <c r="C66" s="38">
        <f t="shared" si="0"/>
        <v>1836.7317987421379</v>
      </c>
    </row>
    <row r="67" spans="1:3" x14ac:dyDescent="0.35">
      <c r="A67" s="3">
        <v>35217</v>
      </c>
      <c r="B67" s="4">
        <v>1709.183</v>
      </c>
      <c r="C67" s="38">
        <f t="shared" ref="C67:C130" si="1">AVERAGE(B:B)</f>
        <v>1836.7317987421379</v>
      </c>
    </row>
    <row r="68" spans="1:3" x14ac:dyDescent="0.35">
      <c r="A68" s="3">
        <v>35247</v>
      </c>
      <c r="B68" s="4">
        <v>1851.5160000000001</v>
      </c>
      <c r="C68" s="38">
        <f t="shared" si="1"/>
        <v>1836.7317987421379</v>
      </c>
    </row>
    <row r="69" spans="1:3" x14ac:dyDescent="0.35">
      <c r="A69" s="3">
        <v>35278</v>
      </c>
      <c r="B69" s="4">
        <v>1958.5730000000001</v>
      </c>
      <c r="C69" s="38">
        <f t="shared" si="1"/>
        <v>1836.7317987421379</v>
      </c>
    </row>
    <row r="70" spans="1:3" x14ac:dyDescent="0.35">
      <c r="A70" s="3">
        <v>35309</v>
      </c>
      <c r="B70" s="4">
        <v>1565.4010000000001</v>
      </c>
      <c r="C70" s="38">
        <f t="shared" si="1"/>
        <v>1836.7317987421379</v>
      </c>
    </row>
    <row r="71" spans="1:3" x14ac:dyDescent="0.35">
      <c r="A71" s="3">
        <v>35339</v>
      </c>
      <c r="B71" s="4">
        <v>1700.508</v>
      </c>
      <c r="C71" s="38">
        <f t="shared" si="1"/>
        <v>1836.7317987421379</v>
      </c>
    </row>
    <row r="72" spans="1:3" x14ac:dyDescent="0.35">
      <c r="A72" s="3">
        <v>35370</v>
      </c>
      <c r="B72" s="4">
        <v>1588.204</v>
      </c>
      <c r="C72" s="38">
        <f t="shared" si="1"/>
        <v>1836.7317987421379</v>
      </c>
    </row>
    <row r="73" spans="1:3" x14ac:dyDescent="0.35">
      <c r="A73" s="3">
        <v>35400</v>
      </c>
      <c r="B73" s="4">
        <v>1713.433</v>
      </c>
      <c r="C73" s="38">
        <f t="shared" si="1"/>
        <v>1836.7317987421379</v>
      </c>
    </row>
    <row r="74" spans="1:3" x14ac:dyDescent="0.35">
      <c r="A74" s="3">
        <v>35431</v>
      </c>
      <c r="B74" s="4">
        <v>1411.588</v>
      </c>
      <c r="C74" s="38">
        <f t="shared" si="1"/>
        <v>1836.7317987421379</v>
      </c>
    </row>
    <row r="75" spans="1:3" x14ac:dyDescent="0.35">
      <c r="A75" s="3">
        <v>35462</v>
      </c>
      <c r="B75" s="4">
        <v>1388.69</v>
      </c>
      <c r="C75" s="38">
        <f t="shared" si="1"/>
        <v>1836.7317987421379</v>
      </c>
    </row>
    <row r="76" spans="1:3" x14ac:dyDescent="0.35">
      <c r="A76" s="3">
        <v>35490</v>
      </c>
      <c r="B76" s="4">
        <v>1720.5219999999999</v>
      </c>
      <c r="C76" s="38">
        <f t="shared" si="1"/>
        <v>1836.7317987421379</v>
      </c>
    </row>
    <row r="77" spans="1:3" x14ac:dyDescent="0.35">
      <c r="A77" s="3">
        <v>35521</v>
      </c>
      <c r="B77" s="4">
        <v>1666.604</v>
      </c>
      <c r="C77" s="38">
        <f t="shared" si="1"/>
        <v>1836.7317987421379</v>
      </c>
    </row>
    <row r="78" spans="1:3" x14ac:dyDescent="0.35">
      <c r="A78" s="3">
        <v>35551</v>
      </c>
      <c r="B78" s="4">
        <v>1779.903</v>
      </c>
      <c r="C78" s="38">
        <f t="shared" si="1"/>
        <v>1836.7317987421379</v>
      </c>
    </row>
    <row r="79" spans="1:3" x14ac:dyDescent="0.35">
      <c r="A79" s="3">
        <v>35582</v>
      </c>
      <c r="B79" s="4">
        <v>1787.8</v>
      </c>
      <c r="C79" s="38">
        <f t="shared" si="1"/>
        <v>1836.7317987421379</v>
      </c>
    </row>
    <row r="80" spans="1:3" x14ac:dyDescent="0.35">
      <c r="A80" s="3">
        <v>35612</v>
      </c>
      <c r="B80" s="4">
        <v>1951.2190000000001</v>
      </c>
      <c r="C80" s="38">
        <f t="shared" si="1"/>
        <v>1836.7317987421379</v>
      </c>
    </row>
    <row r="81" spans="1:3" x14ac:dyDescent="0.35">
      <c r="A81" s="3">
        <v>35643</v>
      </c>
      <c r="B81" s="4">
        <v>2021.0550000000001</v>
      </c>
      <c r="C81" s="38">
        <f t="shared" si="1"/>
        <v>1836.7317987421379</v>
      </c>
    </row>
    <row r="82" spans="1:3" x14ac:dyDescent="0.35">
      <c r="A82" s="3">
        <v>35674</v>
      </c>
      <c r="B82" s="4">
        <v>1629.924</v>
      </c>
      <c r="C82" s="38">
        <f t="shared" si="1"/>
        <v>1836.7317987421379</v>
      </c>
    </row>
    <row r="83" spans="1:3" x14ac:dyDescent="0.35">
      <c r="A83" s="3">
        <v>35704</v>
      </c>
      <c r="B83" s="4">
        <v>1789.91</v>
      </c>
      <c r="C83" s="38">
        <f t="shared" si="1"/>
        <v>1836.7317987421379</v>
      </c>
    </row>
    <row r="84" spans="1:3" x14ac:dyDescent="0.35">
      <c r="A84" s="3">
        <v>35735</v>
      </c>
      <c r="B84" s="4">
        <v>1749.3679999999999</v>
      </c>
      <c r="C84" s="38">
        <f t="shared" si="1"/>
        <v>1836.7317987421379</v>
      </c>
    </row>
    <row r="85" spans="1:3" x14ac:dyDescent="0.35">
      <c r="A85" s="3">
        <v>35765</v>
      </c>
      <c r="B85" s="4">
        <v>1809.626</v>
      </c>
      <c r="C85" s="38">
        <f t="shared" si="1"/>
        <v>1836.7317987421379</v>
      </c>
    </row>
    <row r="86" spans="1:3" x14ac:dyDescent="0.35">
      <c r="A86" s="3">
        <v>35796</v>
      </c>
      <c r="B86" s="4">
        <v>1583.33</v>
      </c>
      <c r="C86" s="38">
        <f t="shared" si="1"/>
        <v>1836.7317987421379</v>
      </c>
    </row>
    <row r="87" spans="1:3" x14ac:dyDescent="0.35">
      <c r="A87" s="3">
        <v>35827</v>
      </c>
      <c r="B87" s="4">
        <v>1424.691</v>
      </c>
      <c r="C87" s="38">
        <f t="shared" si="1"/>
        <v>1836.7317987421379</v>
      </c>
    </row>
    <row r="88" spans="1:3" x14ac:dyDescent="0.35">
      <c r="A88" s="3">
        <v>35855</v>
      </c>
      <c r="B88" s="4">
        <v>1766.6410000000001</v>
      </c>
      <c r="C88" s="38">
        <f t="shared" si="1"/>
        <v>1836.7317987421379</v>
      </c>
    </row>
    <row r="89" spans="1:3" x14ac:dyDescent="0.35">
      <c r="A89" s="3">
        <v>35886</v>
      </c>
      <c r="B89" s="4">
        <v>1841.932</v>
      </c>
      <c r="C89" s="38">
        <f t="shared" si="1"/>
        <v>1836.7317987421379</v>
      </c>
    </row>
    <row r="90" spans="1:3" x14ac:dyDescent="0.35">
      <c r="A90" s="3">
        <v>35916</v>
      </c>
      <c r="B90" s="4">
        <v>1855.289</v>
      </c>
      <c r="C90" s="38">
        <f t="shared" si="1"/>
        <v>1836.7317987421379</v>
      </c>
    </row>
    <row r="91" spans="1:3" x14ac:dyDescent="0.35">
      <c r="A91" s="3">
        <v>35947</v>
      </c>
      <c r="B91" s="4">
        <v>1837.9639999999999</v>
      </c>
      <c r="C91" s="38">
        <f t="shared" si="1"/>
        <v>1836.7317987421379</v>
      </c>
    </row>
    <row r="92" spans="1:3" x14ac:dyDescent="0.35">
      <c r="A92" s="3">
        <v>35977</v>
      </c>
      <c r="B92" s="4">
        <v>1985.172</v>
      </c>
      <c r="C92" s="38">
        <f t="shared" si="1"/>
        <v>1836.7317987421379</v>
      </c>
    </row>
    <row r="93" spans="1:3" x14ac:dyDescent="0.35">
      <c r="A93" s="3">
        <v>36008</v>
      </c>
      <c r="B93" s="4">
        <v>1937.645</v>
      </c>
      <c r="C93" s="38">
        <f t="shared" si="1"/>
        <v>1836.7317987421379</v>
      </c>
    </row>
    <row r="94" spans="1:3" x14ac:dyDescent="0.35">
      <c r="A94" s="3">
        <v>36039</v>
      </c>
      <c r="B94" s="4">
        <v>1684.597</v>
      </c>
      <c r="C94" s="38">
        <f t="shared" si="1"/>
        <v>1836.7317987421379</v>
      </c>
    </row>
    <row r="95" spans="1:3" x14ac:dyDescent="0.35">
      <c r="A95" s="3">
        <v>36069</v>
      </c>
      <c r="B95" s="4">
        <v>1803.4739999999999</v>
      </c>
      <c r="C95" s="38">
        <f t="shared" si="1"/>
        <v>1836.7317987421379</v>
      </c>
    </row>
    <row r="96" spans="1:3" x14ac:dyDescent="0.35">
      <c r="A96" s="3">
        <v>36100</v>
      </c>
      <c r="B96" s="4">
        <v>1828.7139999999999</v>
      </c>
      <c r="C96" s="38">
        <f t="shared" si="1"/>
        <v>1836.7317987421379</v>
      </c>
    </row>
    <row r="97" spans="1:3" x14ac:dyDescent="0.35">
      <c r="A97" s="3">
        <v>36130</v>
      </c>
      <c r="B97" s="4">
        <v>1860.7539999999999</v>
      </c>
      <c r="C97" s="38">
        <f t="shared" si="1"/>
        <v>1836.7317987421379</v>
      </c>
    </row>
    <row r="98" spans="1:3" x14ac:dyDescent="0.35">
      <c r="A98" s="3">
        <v>36161</v>
      </c>
      <c r="B98" s="4">
        <v>1614.4269999999999</v>
      </c>
      <c r="C98" s="38">
        <f t="shared" si="1"/>
        <v>1836.7317987421379</v>
      </c>
    </row>
    <row r="99" spans="1:3" x14ac:dyDescent="0.35">
      <c r="A99" s="3">
        <v>36192</v>
      </c>
      <c r="B99" s="4">
        <v>1561.8040000000001</v>
      </c>
      <c r="C99" s="38">
        <f t="shared" si="1"/>
        <v>1836.7317987421379</v>
      </c>
    </row>
    <row r="100" spans="1:3" x14ac:dyDescent="0.35">
      <c r="A100" s="3">
        <v>36220</v>
      </c>
      <c r="B100" s="4">
        <v>1848.3330000000001</v>
      </c>
      <c r="C100" s="38">
        <f t="shared" si="1"/>
        <v>1836.7317987421379</v>
      </c>
    </row>
    <row r="101" spans="1:3" x14ac:dyDescent="0.35">
      <c r="A101" s="3">
        <v>36251</v>
      </c>
      <c r="B101" s="4">
        <v>1853.72</v>
      </c>
      <c r="C101" s="38">
        <f t="shared" si="1"/>
        <v>1836.7317987421379</v>
      </c>
    </row>
    <row r="102" spans="1:3" x14ac:dyDescent="0.35">
      <c r="A102" s="3">
        <v>36281</v>
      </c>
      <c r="B102" s="4">
        <v>1858.498</v>
      </c>
      <c r="C102" s="38">
        <f t="shared" si="1"/>
        <v>1836.7317987421379</v>
      </c>
    </row>
    <row r="103" spans="1:3" x14ac:dyDescent="0.35">
      <c r="A103" s="3">
        <v>36312</v>
      </c>
      <c r="B103" s="4">
        <v>1876.8520000000001</v>
      </c>
      <c r="C103" s="38">
        <f t="shared" si="1"/>
        <v>1836.7317987421379</v>
      </c>
    </row>
    <row r="104" spans="1:3" x14ac:dyDescent="0.35">
      <c r="A104" s="3">
        <v>36342</v>
      </c>
      <c r="B104" s="4">
        <v>1982.7429999999999</v>
      </c>
      <c r="C104" s="38">
        <f t="shared" si="1"/>
        <v>1836.7317987421379</v>
      </c>
    </row>
    <row r="105" spans="1:3" x14ac:dyDescent="0.35">
      <c r="A105" s="3">
        <v>36373</v>
      </c>
      <c r="B105" s="4">
        <v>1965.002</v>
      </c>
      <c r="C105" s="38">
        <f t="shared" si="1"/>
        <v>1836.7317987421379</v>
      </c>
    </row>
    <row r="106" spans="1:3" x14ac:dyDescent="0.35">
      <c r="A106" s="3">
        <v>36404</v>
      </c>
      <c r="B106" s="4">
        <v>1622.373</v>
      </c>
      <c r="C106" s="38">
        <f t="shared" si="1"/>
        <v>1836.7317987421379</v>
      </c>
    </row>
    <row r="107" spans="1:3" x14ac:dyDescent="0.35">
      <c r="A107" s="3">
        <v>36434</v>
      </c>
      <c r="B107" s="4">
        <v>1819.664</v>
      </c>
      <c r="C107" s="38">
        <f t="shared" si="1"/>
        <v>1836.7317987421379</v>
      </c>
    </row>
    <row r="108" spans="1:3" x14ac:dyDescent="0.35">
      <c r="A108" s="3">
        <v>36465</v>
      </c>
      <c r="B108" s="4">
        <v>1864.309</v>
      </c>
      <c r="C108" s="38">
        <f t="shared" si="1"/>
        <v>1836.7317987421379</v>
      </c>
    </row>
    <row r="109" spans="1:3" x14ac:dyDescent="0.35">
      <c r="A109" s="3">
        <v>36495</v>
      </c>
      <c r="B109" s="4">
        <v>1851.4349999999999</v>
      </c>
      <c r="C109" s="38">
        <f t="shared" si="1"/>
        <v>1836.7317987421379</v>
      </c>
    </row>
    <row r="110" spans="1:3" x14ac:dyDescent="0.35">
      <c r="A110" s="3">
        <v>36526</v>
      </c>
      <c r="B110" s="4">
        <v>1558.66</v>
      </c>
      <c r="C110" s="38">
        <f t="shared" si="1"/>
        <v>1836.7317987421379</v>
      </c>
    </row>
    <row r="111" spans="1:3" x14ac:dyDescent="0.35">
      <c r="A111" s="3">
        <v>36557</v>
      </c>
      <c r="B111" s="4">
        <v>1628.9280000000001</v>
      </c>
      <c r="C111" s="38">
        <f t="shared" si="1"/>
        <v>1836.7317987421379</v>
      </c>
    </row>
    <row r="112" spans="1:3" x14ac:dyDescent="0.35">
      <c r="A112" s="3">
        <v>36586</v>
      </c>
      <c r="B112" s="4">
        <v>1931.538</v>
      </c>
      <c r="C112" s="38">
        <f t="shared" si="1"/>
        <v>1836.7317987421379</v>
      </c>
    </row>
    <row r="113" spans="1:3" x14ac:dyDescent="0.35">
      <c r="A113" s="3">
        <v>36617</v>
      </c>
      <c r="B113" s="4">
        <v>1988.4929999999999</v>
      </c>
      <c r="C113" s="38">
        <f t="shared" si="1"/>
        <v>1836.7317987421379</v>
      </c>
    </row>
    <row r="114" spans="1:3" x14ac:dyDescent="0.35">
      <c r="A114" s="3">
        <v>36647</v>
      </c>
      <c r="B114" s="4">
        <v>2004.3009999999999</v>
      </c>
      <c r="C114" s="38">
        <f t="shared" si="1"/>
        <v>1836.7317987421379</v>
      </c>
    </row>
    <row r="115" spans="1:3" x14ac:dyDescent="0.35">
      <c r="A115" s="3">
        <v>36678</v>
      </c>
      <c r="B115" s="4">
        <v>2024.7629999999999</v>
      </c>
      <c r="C115" s="38">
        <f t="shared" si="1"/>
        <v>1836.7317987421379</v>
      </c>
    </row>
    <row r="116" spans="1:3" x14ac:dyDescent="0.35">
      <c r="A116" s="3">
        <v>36708</v>
      </c>
      <c r="B116" s="4">
        <v>2065.9960000000001</v>
      </c>
      <c r="C116" s="38">
        <f t="shared" si="1"/>
        <v>1836.7317987421379</v>
      </c>
    </row>
    <row r="117" spans="1:3" x14ac:dyDescent="0.35">
      <c r="A117" s="3">
        <v>36739</v>
      </c>
      <c r="B117" s="4">
        <v>2110.471</v>
      </c>
      <c r="C117" s="38">
        <f t="shared" si="1"/>
        <v>1836.7317987421379</v>
      </c>
    </row>
    <row r="118" spans="1:3" x14ac:dyDescent="0.35">
      <c r="A118" s="3">
        <v>36770</v>
      </c>
      <c r="B118" s="4">
        <v>1838.7059999999999</v>
      </c>
      <c r="C118" s="38">
        <f t="shared" si="1"/>
        <v>1836.7317987421379</v>
      </c>
    </row>
    <row r="119" spans="1:3" x14ac:dyDescent="0.35">
      <c r="A119" s="3">
        <v>36800</v>
      </c>
      <c r="B119" s="4">
        <v>1991.9970000000001</v>
      </c>
      <c r="C119" s="38">
        <f t="shared" si="1"/>
        <v>1836.7317987421379</v>
      </c>
    </row>
    <row r="120" spans="1:3" x14ac:dyDescent="0.35">
      <c r="A120" s="3">
        <v>36831</v>
      </c>
      <c r="B120" s="4">
        <v>1996.4079999999999</v>
      </c>
      <c r="C120" s="38">
        <f t="shared" si="1"/>
        <v>1836.7317987421379</v>
      </c>
    </row>
    <row r="121" spans="1:3" x14ac:dyDescent="0.35">
      <c r="A121" s="3">
        <v>36861</v>
      </c>
      <c r="B121" s="4">
        <v>2015.153</v>
      </c>
      <c r="C121" s="38">
        <f t="shared" si="1"/>
        <v>1836.7317987421379</v>
      </c>
    </row>
    <row r="122" spans="1:3" x14ac:dyDescent="0.35">
      <c r="A122" s="3">
        <v>36892</v>
      </c>
      <c r="B122" s="4">
        <v>1696.1479999999999</v>
      </c>
      <c r="C122" s="38">
        <f t="shared" si="1"/>
        <v>1836.7317987421379</v>
      </c>
    </row>
    <row r="123" spans="1:3" x14ac:dyDescent="0.35">
      <c r="A123" s="3">
        <v>36923</v>
      </c>
      <c r="B123" s="4">
        <v>1675.404</v>
      </c>
      <c r="C123" s="38">
        <f t="shared" si="1"/>
        <v>1836.7317987421379</v>
      </c>
    </row>
    <row r="124" spans="1:3" x14ac:dyDescent="0.35">
      <c r="A124" s="3">
        <v>36951</v>
      </c>
      <c r="B124" s="4">
        <v>2021.9280000000001</v>
      </c>
      <c r="C124" s="38">
        <f t="shared" si="1"/>
        <v>1836.7317987421379</v>
      </c>
    </row>
    <row r="125" spans="1:3" x14ac:dyDescent="0.35">
      <c r="A125" s="3">
        <v>36982</v>
      </c>
      <c r="B125" s="4">
        <v>2035.7919999999999</v>
      </c>
      <c r="C125" s="38">
        <f t="shared" si="1"/>
        <v>1836.7317987421379</v>
      </c>
    </row>
    <row r="126" spans="1:3" x14ac:dyDescent="0.35">
      <c r="A126" s="3">
        <v>37012</v>
      </c>
      <c r="B126" s="4">
        <v>2060.0079999999998</v>
      </c>
      <c r="C126" s="38">
        <f t="shared" si="1"/>
        <v>1836.7317987421379</v>
      </c>
    </row>
    <row r="127" spans="1:3" x14ac:dyDescent="0.35">
      <c r="A127" s="3">
        <v>37043</v>
      </c>
      <c r="B127" s="4">
        <v>2086.913</v>
      </c>
      <c r="C127" s="38">
        <f t="shared" si="1"/>
        <v>1836.7317987421379</v>
      </c>
    </row>
    <row r="128" spans="1:3" x14ac:dyDescent="0.35">
      <c r="A128" s="3">
        <v>37073</v>
      </c>
      <c r="B128" s="4">
        <v>2140.7170000000001</v>
      </c>
      <c r="C128" s="38">
        <f t="shared" si="1"/>
        <v>1836.7317987421379</v>
      </c>
    </row>
    <row r="129" spans="1:3" x14ac:dyDescent="0.35">
      <c r="A129" s="3">
        <v>37104</v>
      </c>
      <c r="B129" s="4">
        <v>2219.6379999999999</v>
      </c>
      <c r="C129" s="38">
        <f t="shared" si="1"/>
        <v>1836.7317987421379</v>
      </c>
    </row>
    <row r="130" spans="1:3" x14ac:dyDescent="0.35">
      <c r="A130" s="3">
        <v>37135</v>
      </c>
      <c r="B130" s="4">
        <v>1719.693</v>
      </c>
      <c r="C130" s="38">
        <f t="shared" si="1"/>
        <v>1836.7317987421379</v>
      </c>
    </row>
    <row r="131" spans="1:3" x14ac:dyDescent="0.35">
      <c r="A131" s="3">
        <v>37165</v>
      </c>
      <c r="B131" s="4">
        <v>1966.7159999999999</v>
      </c>
      <c r="C131" s="38">
        <f t="shared" ref="C131:C160" si="2">AVERAGE(B:B)</f>
        <v>1836.7317987421379</v>
      </c>
    </row>
    <row r="132" spans="1:3" x14ac:dyDescent="0.35">
      <c r="A132" s="3">
        <v>37196</v>
      </c>
      <c r="B132" s="4">
        <v>1990.614</v>
      </c>
      <c r="C132" s="38">
        <f t="shared" si="2"/>
        <v>1836.7317987421379</v>
      </c>
    </row>
    <row r="133" spans="1:3" x14ac:dyDescent="0.35">
      <c r="A133" s="3">
        <v>37226</v>
      </c>
      <c r="B133" s="4">
        <v>2000.729</v>
      </c>
      <c r="C133" s="38">
        <f t="shared" si="2"/>
        <v>1836.7317987421379</v>
      </c>
    </row>
    <row r="134" spans="1:3" x14ac:dyDescent="0.35">
      <c r="A134" s="3">
        <v>37257</v>
      </c>
      <c r="B134" s="4">
        <v>1776.6289999999999</v>
      </c>
      <c r="C134" s="38">
        <f t="shared" si="2"/>
        <v>1836.7317987421379</v>
      </c>
    </row>
    <row r="135" spans="1:3" x14ac:dyDescent="0.35">
      <c r="A135" s="3">
        <v>37288</v>
      </c>
      <c r="B135" s="4">
        <v>1785.595</v>
      </c>
      <c r="C135" s="38">
        <f t="shared" si="2"/>
        <v>1836.7317987421379</v>
      </c>
    </row>
    <row r="136" spans="1:3" x14ac:dyDescent="0.35">
      <c r="A136" s="3">
        <v>37316</v>
      </c>
      <c r="B136" s="4">
        <v>2031.912</v>
      </c>
      <c r="C136" s="38">
        <f t="shared" si="2"/>
        <v>1836.7317987421379</v>
      </c>
    </row>
    <row r="137" spans="1:3" x14ac:dyDescent="0.35">
      <c r="A137" s="3">
        <v>37347</v>
      </c>
      <c r="B137" s="4">
        <v>2063.3980000000001</v>
      </c>
      <c r="C137" s="38">
        <f t="shared" si="2"/>
        <v>1836.7317987421379</v>
      </c>
    </row>
    <row r="138" spans="1:3" x14ac:dyDescent="0.35">
      <c r="A138" s="3">
        <v>37377</v>
      </c>
      <c r="B138" s="4">
        <v>2085.7629999999999</v>
      </c>
      <c r="C138" s="38">
        <f t="shared" si="2"/>
        <v>1836.7317987421379</v>
      </c>
    </row>
    <row r="139" spans="1:3" x14ac:dyDescent="0.35">
      <c r="A139" s="3">
        <v>37408</v>
      </c>
      <c r="B139" s="4">
        <v>2011.2670000000001</v>
      </c>
      <c r="C139" s="38">
        <f t="shared" si="2"/>
        <v>1836.7317987421379</v>
      </c>
    </row>
    <row r="140" spans="1:3" x14ac:dyDescent="0.35">
      <c r="A140" s="3">
        <v>37438</v>
      </c>
      <c r="B140" s="4">
        <v>2089.2579999999998</v>
      </c>
      <c r="C140" s="38">
        <f t="shared" si="2"/>
        <v>1836.7317987421379</v>
      </c>
    </row>
    <row r="141" spans="1:3" x14ac:dyDescent="0.35">
      <c r="A141" s="3">
        <v>37469</v>
      </c>
      <c r="B141" s="4">
        <v>2043.56</v>
      </c>
      <c r="C141" s="38">
        <f t="shared" si="2"/>
        <v>1836.7317987421379</v>
      </c>
    </row>
    <row r="142" spans="1:3" x14ac:dyDescent="0.35">
      <c r="A142" s="3">
        <v>37500</v>
      </c>
      <c r="B142" s="4">
        <v>1746.155</v>
      </c>
      <c r="C142" s="38">
        <f t="shared" si="2"/>
        <v>1836.7317987421379</v>
      </c>
    </row>
    <row r="143" spans="1:3" x14ac:dyDescent="0.35">
      <c r="A143" s="3">
        <v>37530</v>
      </c>
      <c r="B143" s="4">
        <v>1929.771</v>
      </c>
      <c r="C143" s="38">
        <f t="shared" si="2"/>
        <v>1836.7317987421379</v>
      </c>
    </row>
    <row r="144" spans="1:3" x14ac:dyDescent="0.35">
      <c r="A144" s="3">
        <v>37561</v>
      </c>
      <c r="B144" s="4">
        <v>1874.345</v>
      </c>
      <c r="C144" s="38">
        <f t="shared" si="2"/>
        <v>1836.7317987421379</v>
      </c>
    </row>
    <row r="145" spans="1:3" x14ac:dyDescent="0.35">
      <c r="A145" s="3">
        <v>37591</v>
      </c>
      <c r="B145" s="4">
        <v>2010.3520000000001</v>
      </c>
      <c r="C145" s="38">
        <f t="shared" si="2"/>
        <v>1836.7317987421379</v>
      </c>
    </row>
    <row r="146" spans="1:3" x14ac:dyDescent="0.35">
      <c r="A146" s="3">
        <v>37622</v>
      </c>
      <c r="B146" s="4">
        <v>1794.0329999999999</v>
      </c>
      <c r="C146" s="38">
        <f t="shared" si="2"/>
        <v>1836.7317987421379</v>
      </c>
    </row>
    <row r="147" spans="1:3" x14ac:dyDescent="0.35">
      <c r="A147" s="3">
        <v>37653</v>
      </c>
      <c r="B147" s="4">
        <v>1762.489</v>
      </c>
      <c r="C147" s="38">
        <f t="shared" si="2"/>
        <v>1836.7317987421379</v>
      </c>
    </row>
    <row r="148" spans="1:3" x14ac:dyDescent="0.35">
      <c r="A148" s="3">
        <v>37681</v>
      </c>
      <c r="B148" s="4">
        <v>2082.4659999999999</v>
      </c>
      <c r="C148" s="38">
        <f t="shared" si="2"/>
        <v>1836.7317987421379</v>
      </c>
    </row>
    <row r="149" spans="1:3" x14ac:dyDescent="0.35">
      <c r="A149" s="3">
        <v>37712</v>
      </c>
      <c r="B149" s="4">
        <v>2115.8989999999999</v>
      </c>
      <c r="C149" s="38">
        <f t="shared" si="2"/>
        <v>1836.7317987421379</v>
      </c>
    </row>
    <row r="150" spans="1:3" x14ac:dyDescent="0.35">
      <c r="A150" s="3">
        <v>37742</v>
      </c>
      <c r="B150" s="4">
        <v>2120.9110000000001</v>
      </c>
      <c r="C150" s="38">
        <f t="shared" si="2"/>
        <v>1836.7317987421379</v>
      </c>
    </row>
    <row r="151" spans="1:3" x14ac:dyDescent="0.35">
      <c r="A151" s="3">
        <v>37773</v>
      </c>
      <c r="B151" s="4">
        <v>2143.6709999999998</v>
      </c>
      <c r="C151" s="38">
        <f t="shared" si="2"/>
        <v>1836.7317987421379</v>
      </c>
    </row>
    <row r="152" spans="1:3" x14ac:dyDescent="0.35">
      <c r="A152" s="3">
        <v>37803</v>
      </c>
      <c r="B152" s="4">
        <v>2236.3490000000002</v>
      </c>
      <c r="C152" s="38">
        <f t="shared" si="2"/>
        <v>1836.7317987421379</v>
      </c>
    </row>
    <row r="153" spans="1:3" x14ac:dyDescent="0.35">
      <c r="A153" s="3">
        <v>37834</v>
      </c>
      <c r="B153" s="4">
        <v>2189.36</v>
      </c>
      <c r="C153" s="38">
        <f t="shared" si="2"/>
        <v>1836.7317987421379</v>
      </c>
    </row>
    <row r="154" spans="1:3" x14ac:dyDescent="0.35">
      <c r="A154" s="3">
        <v>37865</v>
      </c>
      <c r="B154" s="4">
        <v>1943.4059999999999</v>
      </c>
      <c r="C154" s="38">
        <f t="shared" si="2"/>
        <v>1836.7317987421379</v>
      </c>
    </row>
    <row r="155" spans="1:3" x14ac:dyDescent="0.35">
      <c r="A155" s="3">
        <v>37895</v>
      </c>
      <c r="B155" s="4">
        <v>2135.4699999999998</v>
      </c>
      <c r="C155" s="38">
        <f t="shared" si="2"/>
        <v>1836.7317987421379</v>
      </c>
    </row>
    <row r="156" spans="1:3" x14ac:dyDescent="0.35">
      <c r="A156" s="3">
        <v>37926</v>
      </c>
      <c r="B156" s="4">
        <v>2091.0540000000001</v>
      </c>
      <c r="C156" s="38">
        <f t="shared" si="2"/>
        <v>1836.7317987421379</v>
      </c>
    </row>
    <row r="157" spans="1:3" x14ac:dyDescent="0.35">
      <c r="A157" s="3">
        <v>37956</v>
      </c>
      <c r="B157" s="4">
        <v>2154.6770000000001</v>
      </c>
      <c r="C157" s="38">
        <f t="shared" si="2"/>
        <v>1836.7317987421379</v>
      </c>
    </row>
    <row r="158" spans="1:3" x14ac:dyDescent="0.35">
      <c r="A158" s="3">
        <v>37987</v>
      </c>
      <c r="B158" s="4">
        <v>1847.508</v>
      </c>
      <c r="C158" s="38">
        <f t="shared" si="2"/>
        <v>1836.7317987421379</v>
      </c>
    </row>
    <row r="159" spans="1:3" x14ac:dyDescent="0.35">
      <c r="A159" s="3">
        <v>38018</v>
      </c>
      <c r="B159" s="4">
        <v>1852.0060000000001</v>
      </c>
      <c r="C159" s="38">
        <f t="shared" si="2"/>
        <v>1836.7317987421379</v>
      </c>
    </row>
    <row r="160" spans="1:3" x14ac:dyDescent="0.35">
      <c r="A160" s="3">
        <v>38047</v>
      </c>
      <c r="B160" s="4">
        <v>2145.4459999999999</v>
      </c>
      <c r="C160" s="38">
        <f t="shared" si="2"/>
        <v>1836.7317987421379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78D2F-5396-4DF1-B073-30D2CFBFA5A4}">
  <dimension ref="A1:I160"/>
  <sheetViews>
    <sheetView workbookViewId="0">
      <selection sqref="A1:B1048576"/>
    </sheetView>
  </sheetViews>
  <sheetFormatPr defaultColWidth="9" defaultRowHeight="15.5" x14ac:dyDescent="0.35"/>
  <cols>
    <col min="1" max="1" width="9" style="1"/>
    <col min="2" max="2" width="14.5" style="1" customWidth="1"/>
    <col min="3" max="16384" width="9" style="1"/>
  </cols>
  <sheetData>
    <row r="1" spans="1:9" x14ac:dyDescent="0.35">
      <c r="A1" s="2" t="s">
        <v>0</v>
      </c>
      <c r="B1" s="2" t="s">
        <v>1</v>
      </c>
      <c r="G1" s="1" t="s">
        <v>198</v>
      </c>
      <c r="H1" s="20" t="s">
        <v>199</v>
      </c>
      <c r="I1" s="1" t="s">
        <v>200</v>
      </c>
    </row>
    <row r="2" spans="1:9" x14ac:dyDescent="0.35">
      <c r="A2" s="3">
        <v>33239</v>
      </c>
      <c r="B2" s="4">
        <v>1723.9169999999999</v>
      </c>
      <c r="D2" s="1" t="s">
        <v>195</v>
      </c>
      <c r="E2" s="1" t="s">
        <v>240</v>
      </c>
      <c r="F2" s="1">
        <v>1836</v>
      </c>
    </row>
    <row r="3" spans="1:9" x14ac:dyDescent="0.35">
      <c r="A3" s="3">
        <v>33270</v>
      </c>
      <c r="B3" s="4">
        <v>1637.586</v>
      </c>
      <c r="D3" s="1" t="s">
        <v>196</v>
      </c>
      <c r="E3" s="20" t="s">
        <v>2</v>
      </c>
      <c r="F3" s="1" t="s">
        <v>241</v>
      </c>
    </row>
    <row r="4" spans="1:9" x14ac:dyDescent="0.35">
      <c r="A4" s="3">
        <v>33298</v>
      </c>
      <c r="B4" s="4">
        <v>1986.7149999999999</v>
      </c>
      <c r="D4" s="1" t="s">
        <v>197</v>
      </c>
      <c r="E4" s="20" t="s">
        <v>2</v>
      </c>
      <c r="F4" s="1" t="s">
        <v>242</v>
      </c>
    </row>
    <row r="5" spans="1:9" x14ac:dyDescent="0.35">
      <c r="A5" s="3">
        <v>33329</v>
      </c>
      <c r="B5" s="4">
        <v>1824.665</v>
      </c>
      <c r="E5" s="20"/>
    </row>
    <row r="6" spans="1:9" x14ac:dyDescent="0.35">
      <c r="A6" s="3">
        <v>33359</v>
      </c>
      <c r="B6" s="4">
        <v>1991.9639999999999</v>
      </c>
      <c r="E6" s="20"/>
    </row>
    <row r="7" spans="1:9" x14ac:dyDescent="0.35">
      <c r="A7" s="3">
        <v>33390</v>
      </c>
      <c r="B7" s="4">
        <v>1879.356</v>
      </c>
      <c r="E7" s="1" t="s">
        <v>194</v>
      </c>
    </row>
    <row r="8" spans="1:9" x14ac:dyDescent="0.35">
      <c r="A8" s="3">
        <v>33420</v>
      </c>
      <c r="B8" s="4">
        <v>1956.86</v>
      </c>
    </row>
    <row r="9" spans="1:9" x14ac:dyDescent="0.35">
      <c r="A9" s="3">
        <v>33451</v>
      </c>
      <c r="B9" s="4">
        <v>2027.2639999999999</v>
      </c>
    </row>
    <row r="10" spans="1:9" x14ac:dyDescent="0.35">
      <c r="A10" s="3">
        <v>33482</v>
      </c>
      <c r="B10" s="4">
        <v>1608.6569999999999</v>
      </c>
    </row>
    <row r="11" spans="1:9" x14ac:dyDescent="0.35">
      <c r="A11" s="3">
        <v>33512</v>
      </c>
      <c r="B11" s="4">
        <v>1739.924</v>
      </c>
    </row>
    <row r="12" spans="1:9" x14ac:dyDescent="0.35">
      <c r="A12" s="3">
        <v>33543</v>
      </c>
      <c r="B12" s="4">
        <v>1688.6669999999999</v>
      </c>
    </row>
    <row r="13" spans="1:9" x14ac:dyDescent="0.35">
      <c r="A13" s="3">
        <v>33573</v>
      </c>
      <c r="B13" s="4">
        <v>1830.8630000000001</v>
      </c>
    </row>
    <row r="14" spans="1:9" x14ac:dyDescent="0.35">
      <c r="A14" s="3">
        <v>33604</v>
      </c>
      <c r="B14" s="4">
        <v>1628.827</v>
      </c>
    </row>
    <row r="15" spans="1:9" x14ac:dyDescent="0.35">
      <c r="A15" s="3">
        <v>33635</v>
      </c>
      <c r="B15" s="4">
        <v>1574.088</v>
      </c>
    </row>
    <row r="16" spans="1:9" x14ac:dyDescent="0.35">
      <c r="A16" s="3">
        <v>33664</v>
      </c>
      <c r="B16" s="4">
        <v>1908.223</v>
      </c>
    </row>
    <row r="17" spans="1:2" x14ac:dyDescent="0.35">
      <c r="A17" s="3">
        <v>33695</v>
      </c>
      <c r="B17" s="4">
        <v>1972.981</v>
      </c>
    </row>
    <row r="18" spans="1:2" x14ac:dyDescent="0.35">
      <c r="A18" s="3">
        <v>33725</v>
      </c>
      <c r="B18" s="4">
        <v>1898.7139999999999</v>
      </c>
    </row>
    <row r="19" spans="1:2" x14ac:dyDescent="0.35">
      <c r="A19" s="3">
        <v>33756</v>
      </c>
      <c r="B19" s="4">
        <v>1637.0419999999999</v>
      </c>
    </row>
    <row r="20" spans="1:2" x14ac:dyDescent="0.35">
      <c r="A20" s="3">
        <v>33786</v>
      </c>
      <c r="B20" s="4">
        <v>1919.309</v>
      </c>
    </row>
    <row r="21" spans="1:2" x14ac:dyDescent="0.35">
      <c r="A21" s="3">
        <v>33817</v>
      </c>
      <c r="B21" s="4">
        <v>2010.712</v>
      </c>
    </row>
    <row r="22" spans="1:2" x14ac:dyDescent="0.35">
      <c r="A22" s="3">
        <v>33848</v>
      </c>
      <c r="B22" s="4">
        <v>1719.8969999999999</v>
      </c>
    </row>
    <row r="23" spans="1:2" x14ac:dyDescent="0.35">
      <c r="A23" s="3">
        <v>33878</v>
      </c>
      <c r="B23" s="4">
        <v>1824</v>
      </c>
    </row>
    <row r="24" spans="1:2" x14ac:dyDescent="0.35">
      <c r="A24" s="3">
        <v>33909</v>
      </c>
      <c r="B24" s="4">
        <v>1874.6010000000001</v>
      </c>
    </row>
    <row r="25" spans="1:2" x14ac:dyDescent="0.35">
      <c r="A25" s="3">
        <v>33939</v>
      </c>
      <c r="B25" s="4">
        <v>1890.1220000000001</v>
      </c>
    </row>
    <row r="26" spans="1:2" x14ac:dyDescent="0.35">
      <c r="A26" s="3">
        <v>33970</v>
      </c>
      <c r="B26" s="4">
        <v>1720.259</v>
      </c>
    </row>
    <row r="27" spans="1:2" x14ac:dyDescent="0.35">
      <c r="A27" s="3">
        <v>34001</v>
      </c>
      <c r="B27" s="4">
        <v>1631.5350000000001</v>
      </c>
    </row>
    <row r="28" spans="1:2" x14ac:dyDescent="0.35">
      <c r="A28" s="3">
        <v>34029</v>
      </c>
      <c r="B28" s="4">
        <v>1850.7090000000001</v>
      </c>
    </row>
    <row r="29" spans="1:2" x14ac:dyDescent="0.35">
      <c r="A29" s="3">
        <v>34060</v>
      </c>
      <c r="B29" s="4">
        <v>1974.0429999999999</v>
      </c>
    </row>
    <row r="30" spans="1:2" x14ac:dyDescent="0.35">
      <c r="A30" s="3">
        <v>34090</v>
      </c>
      <c r="B30" s="4">
        <v>1932.1849999999999</v>
      </c>
    </row>
    <row r="31" spans="1:2" x14ac:dyDescent="0.35">
      <c r="A31" s="3">
        <v>34121</v>
      </c>
      <c r="B31" s="4">
        <v>1895.3979999999999</v>
      </c>
    </row>
    <row r="32" spans="1:2" x14ac:dyDescent="0.35">
      <c r="A32" s="3">
        <v>34151</v>
      </c>
      <c r="B32" s="4">
        <v>1949.009</v>
      </c>
    </row>
    <row r="33" spans="1:2" x14ac:dyDescent="0.35">
      <c r="A33" s="3">
        <v>34182</v>
      </c>
      <c r="B33" s="4">
        <v>2012.1669999999999</v>
      </c>
    </row>
    <row r="34" spans="1:2" x14ac:dyDescent="0.35">
      <c r="A34" s="3">
        <v>34213</v>
      </c>
      <c r="B34" s="4">
        <v>1689.8409999999999</v>
      </c>
    </row>
    <row r="35" spans="1:2" x14ac:dyDescent="0.35">
      <c r="A35" s="3">
        <v>34243</v>
      </c>
      <c r="B35" s="4">
        <v>1769.827</v>
      </c>
    </row>
    <row r="36" spans="1:2" x14ac:dyDescent="0.35">
      <c r="A36" s="3">
        <v>34274</v>
      </c>
      <c r="B36" s="4">
        <v>1733.377</v>
      </c>
    </row>
    <row r="37" spans="1:2" x14ac:dyDescent="0.35">
      <c r="A37" s="3">
        <v>34304</v>
      </c>
      <c r="B37" s="4">
        <v>1748.2919999999999</v>
      </c>
    </row>
    <row r="38" spans="1:2" x14ac:dyDescent="0.35">
      <c r="A38" s="3">
        <v>34335</v>
      </c>
      <c r="B38" s="4">
        <v>1575.365</v>
      </c>
    </row>
    <row r="39" spans="1:2" x14ac:dyDescent="0.35">
      <c r="A39" s="3">
        <v>34366</v>
      </c>
      <c r="B39" s="4">
        <v>1589.9590000000001</v>
      </c>
    </row>
    <row r="40" spans="1:2" x14ac:dyDescent="0.35">
      <c r="A40" s="3">
        <v>34394</v>
      </c>
      <c r="B40" s="4">
        <v>1919.6389999999999</v>
      </c>
    </row>
    <row r="41" spans="1:2" x14ac:dyDescent="0.35">
      <c r="A41" s="3">
        <v>34425</v>
      </c>
      <c r="B41" s="4">
        <v>1849.8879999999999</v>
      </c>
    </row>
    <row r="42" spans="1:2" x14ac:dyDescent="0.35">
      <c r="A42" s="3">
        <v>34455</v>
      </c>
      <c r="B42" s="4">
        <v>1845.049</v>
      </c>
    </row>
    <row r="43" spans="1:2" x14ac:dyDescent="0.35">
      <c r="A43" s="3">
        <v>34486</v>
      </c>
      <c r="B43" s="4">
        <v>1790.7550000000001</v>
      </c>
    </row>
    <row r="44" spans="1:2" x14ac:dyDescent="0.35">
      <c r="A44" s="3">
        <v>34516</v>
      </c>
      <c r="B44" s="4">
        <v>1882.508</v>
      </c>
    </row>
    <row r="45" spans="1:2" x14ac:dyDescent="0.35">
      <c r="A45" s="3">
        <v>34547</v>
      </c>
      <c r="B45" s="4">
        <v>1921.6079999999999</v>
      </c>
    </row>
    <row r="46" spans="1:2" x14ac:dyDescent="0.35">
      <c r="A46" s="3">
        <v>34578</v>
      </c>
      <c r="B46" s="4">
        <v>1702.6320000000001</v>
      </c>
    </row>
    <row r="47" spans="1:2" x14ac:dyDescent="0.35">
      <c r="A47" s="3">
        <v>34608</v>
      </c>
      <c r="B47" s="4">
        <v>1790.546</v>
      </c>
    </row>
    <row r="48" spans="1:2" x14ac:dyDescent="0.35">
      <c r="A48" s="3">
        <v>34639</v>
      </c>
      <c r="B48" s="4">
        <v>1790.9949999999999</v>
      </c>
    </row>
    <row r="49" spans="1:2" x14ac:dyDescent="0.35">
      <c r="A49" s="3">
        <v>34669</v>
      </c>
      <c r="B49" s="4">
        <v>1797.35</v>
      </c>
    </row>
    <row r="50" spans="1:2" x14ac:dyDescent="0.35">
      <c r="A50" s="3">
        <v>34700</v>
      </c>
      <c r="B50" s="4">
        <v>1560.415</v>
      </c>
    </row>
    <row r="51" spans="1:2" x14ac:dyDescent="0.35">
      <c r="A51" s="3">
        <v>34731</v>
      </c>
      <c r="B51" s="4">
        <v>1509.925</v>
      </c>
    </row>
    <row r="52" spans="1:2" x14ac:dyDescent="0.35">
      <c r="A52" s="3">
        <v>34759</v>
      </c>
      <c r="B52" s="4">
        <v>1813.316</v>
      </c>
    </row>
    <row r="53" spans="1:2" x14ac:dyDescent="0.35">
      <c r="A53" s="3">
        <v>34790</v>
      </c>
      <c r="B53" s="4">
        <v>1746.895</v>
      </c>
    </row>
    <row r="54" spans="1:2" x14ac:dyDescent="0.35">
      <c r="A54" s="3">
        <v>34820</v>
      </c>
      <c r="B54" s="4">
        <v>1785.345</v>
      </c>
    </row>
    <row r="55" spans="1:2" x14ac:dyDescent="0.35">
      <c r="A55" s="3">
        <v>34851</v>
      </c>
      <c r="B55" s="4">
        <v>1777.2070000000001</v>
      </c>
    </row>
    <row r="56" spans="1:2" x14ac:dyDescent="0.35">
      <c r="A56" s="3">
        <v>34881</v>
      </c>
      <c r="B56" s="4">
        <v>1804.655</v>
      </c>
    </row>
    <row r="57" spans="1:2" x14ac:dyDescent="0.35">
      <c r="A57" s="3">
        <v>34912</v>
      </c>
      <c r="B57" s="4">
        <v>1886.82</v>
      </c>
    </row>
    <row r="58" spans="1:2" x14ac:dyDescent="0.35">
      <c r="A58" s="3">
        <v>34943</v>
      </c>
      <c r="B58" s="4">
        <v>1583.309</v>
      </c>
    </row>
    <row r="59" spans="1:2" x14ac:dyDescent="0.35">
      <c r="A59" s="3">
        <v>34973</v>
      </c>
      <c r="B59" s="4">
        <v>1663.9480000000001</v>
      </c>
    </row>
    <row r="60" spans="1:2" x14ac:dyDescent="0.35">
      <c r="A60" s="3">
        <v>35004</v>
      </c>
      <c r="B60" s="4">
        <v>1687.6310000000001</v>
      </c>
    </row>
    <row r="61" spans="1:2" x14ac:dyDescent="0.35">
      <c r="A61" s="3">
        <v>35034</v>
      </c>
      <c r="B61" s="4">
        <v>1670.845</v>
      </c>
    </row>
    <row r="62" spans="1:2" x14ac:dyDescent="0.35">
      <c r="A62" s="3">
        <v>35065</v>
      </c>
      <c r="B62" s="4">
        <v>1398.758</v>
      </c>
    </row>
    <row r="63" spans="1:2" x14ac:dyDescent="0.35">
      <c r="A63" s="3">
        <v>35096</v>
      </c>
      <c r="B63" s="4">
        <v>1375.8520000000001</v>
      </c>
    </row>
    <row r="64" spans="1:2" x14ac:dyDescent="0.35">
      <c r="A64" s="3">
        <v>35125</v>
      </c>
      <c r="B64" s="4">
        <v>1572.575</v>
      </c>
    </row>
    <row r="65" spans="1:2" x14ac:dyDescent="0.35">
      <c r="A65" s="3">
        <v>35156</v>
      </c>
      <c r="B65" s="4">
        <v>1620.42</v>
      </c>
    </row>
    <row r="66" spans="1:2" x14ac:dyDescent="0.35">
      <c r="A66" s="3">
        <v>35186</v>
      </c>
      <c r="B66" s="4">
        <v>1709.6959999999999</v>
      </c>
    </row>
    <row r="67" spans="1:2" x14ac:dyDescent="0.35">
      <c r="A67" s="3">
        <v>35217</v>
      </c>
      <c r="B67" s="4">
        <v>1709.183</v>
      </c>
    </row>
    <row r="68" spans="1:2" x14ac:dyDescent="0.35">
      <c r="A68" s="3">
        <v>35247</v>
      </c>
      <c r="B68" s="4">
        <v>1851.5160000000001</v>
      </c>
    </row>
    <row r="69" spans="1:2" x14ac:dyDescent="0.35">
      <c r="A69" s="3">
        <v>35278</v>
      </c>
      <c r="B69" s="4">
        <v>1958.5730000000001</v>
      </c>
    </row>
    <row r="70" spans="1:2" x14ac:dyDescent="0.35">
      <c r="A70" s="3">
        <v>35309</v>
      </c>
      <c r="B70" s="4">
        <v>1565.4010000000001</v>
      </c>
    </row>
    <row r="71" spans="1:2" x14ac:dyDescent="0.35">
      <c r="A71" s="3">
        <v>35339</v>
      </c>
      <c r="B71" s="4">
        <v>1700.508</v>
      </c>
    </row>
    <row r="72" spans="1:2" x14ac:dyDescent="0.35">
      <c r="A72" s="3">
        <v>35370</v>
      </c>
      <c r="B72" s="4">
        <v>1588.204</v>
      </c>
    </row>
    <row r="73" spans="1:2" x14ac:dyDescent="0.35">
      <c r="A73" s="3">
        <v>35400</v>
      </c>
      <c r="B73" s="4">
        <v>1713.433</v>
      </c>
    </row>
    <row r="74" spans="1:2" x14ac:dyDescent="0.35">
      <c r="A74" s="3">
        <v>35431</v>
      </c>
      <c r="B74" s="4">
        <v>1411.588</v>
      </c>
    </row>
    <row r="75" spans="1:2" x14ac:dyDescent="0.35">
      <c r="A75" s="3">
        <v>35462</v>
      </c>
      <c r="B75" s="4">
        <v>1388.69</v>
      </c>
    </row>
    <row r="76" spans="1:2" x14ac:dyDescent="0.35">
      <c r="A76" s="3">
        <v>35490</v>
      </c>
      <c r="B76" s="4">
        <v>1720.5219999999999</v>
      </c>
    </row>
    <row r="77" spans="1:2" x14ac:dyDescent="0.35">
      <c r="A77" s="3">
        <v>35521</v>
      </c>
      <c r="B77" s="4">
        <v>1666.604</v>
      </c>
    </row>
    <row r="78" spans="1:2" x14ac:dyDescent="0.35">
      <c r="A78" s="3">
        <v>35551</v>
      </c>
      <c r="B78" s="4">
        <v>1779.903</v>
      </c>
    </row>
    <row r="79" spans="1:2" x14ac:dyDescent="0.35">
      <c r="A79" s="3">
        <v>35582</v>
      </c>
      <c r="B79" s="4">
        <v>1787.8</v>
      </c>
    </row>
    <row r="80" spans="1:2" x14ac:dyDescent="0.35">
      <c r="A80" s="3">
        <v>35612</v>
      </c>
      <c r="B80" s="4">
        <v>1951.2190000000001</v>
      </c>
    </row>
    <row r="81" spans="1:2" x14ac:dyDescent="0.35">
      <c r="A81" s="3">
        <v>35643</v>
      </c>
      <c r="B81" s="4">
        <v>2021.0550000000001</v>
      </c>
    </row>
    <row r="82" spans="1:2" x14ac:dyDescent="0.35">
      <c r="A82" s="3">
        <v>35674</v>
      </c>
      <c r="B82" s="4">
        <v>1629.924</v>
      </c>
    </row>
    <row r="83" spans="1:2" x14ac:dyDescent="0.35">
      <c r="A83" s="3">
        <v>35704</v>
      </c>
      <c r="B83" s="4">
        <v>1789.91</v>
      </c>
    </row>
    <row r="84" spans="1:2" x14ac:dyDescent="0.35">
      <c r="A84" s="3">
        <v>35735</v>
      </c>
      <c r="B84" s="4">
        <v>1749.3679999999999</v>
      </c>
    </row>
    <row r="85" spans="1:2" x14ac:dyDescent="0.35">
      <c r="A85" s="3">
        <v>35765</v>
      </c>
      <c r="B85" s="4">
        <v>1809.626</v>
      </c>
    </row>
    <row r="86" spans="1:2" x14ac:dyDescent="0.35">
      <c r="A86" s="3">
        <v>35796</v>
      </c>
      <c r="B86" s="4">
        <v>1583.33</v>
      </c>
    </row>
    <row r="87" spans="1:2" x14ac:dyDescent="0.35">
      <c r="A87" s="3">
        <v>35827</v>
      </c>
      <c r="B87" s="4">
        <v>1424.691</v>
      </c>
    </row>
    <row r="88" spans="1:2" x14ac:dyDescent="0.35">
      <c r="A88" s="3">
        <v>35855</v>
      </c>
      <c r="B88" s="4">
        <v>1766.6410000000001</v>
      </c>
    </row>
    <row r="89" spans="1:2" x14ac:dyDescent="0.35">
      <c r="A89" s="3">
        <v>35886</v>
      </c>
      <c r="B89" s="4">
        <v>1841.932</v>
      </c>
    </row>
    <row r="90" spans="1:2" x14ac:dyDescent="0.35">
      <c r="A90" s="3">
        <v>35916</v>
      </c>
      <c r="B90" s="4">
        <v>1855.289</v>
      </c>
    </row>
    <row r="91" spans="1:2" x14ac:dyDescent="0.35">
      <c r="A91" s="3">
        <v>35947</v>
      </c>
      <c r="B91" s="4">
        <v>1837.9639999999999</v>
      </c>
    </row>
    <row r="92" spans="1:2" x14ac:dyDescent="0.35">
      <c r="A92" s="3">
        <v>35977</v>
      </c>
      <c r="B92" s="4">
        <v>1985.172</v>
      </c>
    </row>
    <row r="93" spans="1:2" x14ac:dyDescent="0.35">
      <c r="A93" s="3">
        <v>36008</v>
      </c>
      <c r="B93" s="4">
        <v>1937.645</v>
      </c>
    </row>
    <row r="94" spans="1:2" x14ac:dyDescent="0.35">
      <c r="A94" s="3">
        <v>36039</v>
      </c>
      <c r="B94" s="4">
        <v>1684.597</v>
      </c>
    </row>
    <row r="95" spans="1:2" x14ac:dyDescent="0.35">
      <c r="A95" s="3">
        <v>36069</v>
      </c>
      <c r="B95" s="4">
        <v>1803.4739999999999</v>
      </c>
    </row>
    <row r="96" spans="1:2" x14ac:dyDescent="0.35">
      <c r="A96" s="3">
        <v>36100</v>
      </c>
      <c r="B96" s="4">
        <v>1828.7139999999999</v>
      </c>
    </row>
    <row r="97" spans="1:2" x14ac:dyDescent="0.35">
      <c r="A97" s="3">
        <v>36130</v>
      </c>
      <c r="B97" s="4">
        <v>1860.7539999999999</v>
      </c>
    </row>
    <row r="98" spans="1:2" x14ac:dyDescent="0.35">
      <c r="A98" s="3">
        <v>36161</v>
      </c>
      <c r="B98" s="4">
        <v>1614.4269999999999</v>
      </c>
    </row>
    <row r="99" spans="1:2" x14ac:dyDescent="0.35">
      <c r="A99" s="3">
        <v>36192</v>
      </c>
      <c r="B99" s="4">
        <v>1561.8040000000001</v>
      </c>
    </row>
    <row r="100" spans="1:2" x14ac:dyDescent="0.35">
      <c r="A100" s="3">
        <v>36220</v>
      </c>
      <c r="B100" s="4">
        <v>1848.3330000000001</v>
      </c>
    </row>
    <row r="101" spans="1:2" x14ac:dyDescent="0.35">
      <c r="A101" s="3">
        <v>36251</v>
      </c>
      <c r="B101" s="4">
        <v>1853.72</v>
      </c>
    </row>
    <row r="102" spans="1:2" x14ac:dyDescent="0.35">
      <c r="A102" s="3">
        <v>36281</v>
      </c>
      <c r="B102" s="4">
        <v>1858.498</v>
      </c>
    </row>
    <row r="103" spans="1:2" x14ac:dyDescent="0.35">
      <c r="A103" s="3">
        <v>36312</v>
      </c>
      <c r="B103" s="4">
        <v>1876.8520000000001</v>
      </c>
    </row>
    <row r="104" spans="1:2" x14ac:dyDescent="0.35">
      <c r="A104" s="3">
        <v>36342</v>
      </c>
      <c r="B104" s="4">
        <v>1982.7429999999999</v>
      </c>
    </row>
    <row r="105" spans="1:2" x14ac:dyDescent="0.35">
      <c r="A105" s="3">
        <v>36373</v>
      </c>
      <c r="B105" s="4">
        <v>1965.002</v>
      </c>
    </row>
    <row r="106" spans="1:2" x14ac:dyDescent="0.35">
      <c r="A106" s="3">
        <v>36404</v>
      </c>
      <c r="B106" s="4">
        <v>1622.373</v>
      </c>
    </row>
    <row r="107" spans="1:2" x14ac:dyDescent="0.35">
      <c r="A107" s="3">
        <v>36434</v>
      </c>
      <c r="B107" s="4">
        <v>1819.664</v>
      </c>
    </row>
    <row r="108" spans="1:2" x14ac:dyDescent="0.35">
      <c r="A108" s="3">
        <v>36465</v>
      </c>
      <c r="B108" s="4">
        <v>1864.309</v>
      </c>
    </row>
    <row r="109" spans="1:2" x14ac:dyDescent="0.35">
      <c r="A109" s="3">
        <v>36495</v>
      </c>
      <c r="B109" s="4">
        <v>1851.4349999999999</v>
      </c>
    </row>
    <row r="110" spans="1:2" x14ac:dyDescent="0.35">
      <c r="A110" s="3">
        <v>36526</v>
      </c>
      <c r="B110" s="4">
        <v>1558.66</v>
      </c>
    </row>
    <row r="111" spans="1:2" x14ac:dyDescent="0.35">
      <c r="A111" s="3">
        <v>36557</v>
      </c>
      <c r="B111" s="4">
        <v>1628.9280000000001</v>
      </c>
    </row>
    <row r="112" spans="1:2" x14ac:dyDescent="0.35">
      <c r="A112" s="3">
        <v>36586</v>
      </c>
      <c r="B112" s="4">
        <v>1931.538</v>
      </c>
    </row>
    <row r="113" spans="1:2" x14ac:dyDescent="0.35">
      <c r="A113" s="3">
        <v>36617</v>
      </c>
      <c r="B113" s="4">
        <v>1988.4929999999999</v>
      </c>
    </row>
    <row r="114" spans="1:2" x14ac:dyDescent="0.35">
      <c r="A114" s="3">
        <v>36647</v>
      </c>
      <c r="B114" s="4">
        <v>2004.3009999999999</v>
      </c>
    </row>
    <row r="115" spans="1:2" x14ac:dyDescent="0.35">
      <c r="A115" s="3">
        <v>36678</v>
      </c>
      <c r="B115" s="4">
        <v>2024.7629999999999</v>
      </c>
    </row>
    <row r="116" spans="1:2" x14ac:dyDescent="0.35">
      <c r="A116" s="3">
        <v>36708</v>
      </c>
      <c r="B116" s="4">
        <v>2065.9960000000001</v>
      </c>
    </row>
    <row r="117" spans="1:2" x14ac:dyDescent="0.35">
      <c r="A117" s="3">
        <v>36739</v>
      </c>
      <c r="B117" s="4">
        <v>2110.471</v>
      </c>
    </row>
    <row r="118" spans="1:2" x14ac:dyDescent="0.35">
      <c r="A118" s="3">
        <v>36770</v>
      </c>
      <c r="B118" s="4">
        <v>1838.7059999999999</v>
      </c>
    </row>
    <row r="119" spans="1:2" x14ac:dyDescent="0.35">
      <c r="A119" s="3">
        <v>36800</v>
      </c>
      <c r="B119" s="4">
        <v>1991.9970000000001</v>
      </c>
    </row>
    <row r="120" spans="1:2" x14ac:dyDescent="0.35">
      <c r="A120" s="3">
        <v>36831</v>
      </c>
      <c r="B120" s="4">
        <v>1996.4079999999999</v>
      </c>
    </row>
    <row r="121" spans="1:2" x14ac:dyDescent="0.35">
      <c r="A121" s="3">
        <v>36861</v>
      </c>
      <c r="B121" s="4">
        <v>2015.153</v>
      </c>
    </row>
    <row r="122" spans="1:2" x14ac:dyDescent="0.35">
      <c r="A122" s="3">
        <v>36892</v>
      </c>
      <c r="B122" s="4">
        <v>1696.1479999999999</v>
      </c>
    </row>
    <row r="123" spans="1:2" x14ac:dyDescent="0.35">
      <c r="A123" s="3">
        <v>36923</v>
      </c>
      <c r="B123" s="4">
        <v>1675.404</v>
      </c>
    </row>
    <row r="124" spans="1:2" x14ac:dyDescent="0.35">
      <c r="A124" s="3">
        <v>36951</v>
      </c>
      <c r="B124" s="4">
        <v>2021.9280000000001</v>
      </c>
    </row>
    <row r="125" spans="1:2" x14ac:dyDescent="0.35">
      <c r="A125" s="3">
        <v>36982</v>
      </c>
      <c r="B125" s="4">
        <v>2035.7919999999999</v>
      </c>
    </row>
    <row r="126" spans="1:2" x14ac:dyDescent="0.35">
      <c r="A126" s="3">
        <v>37012</v>
      </c>
      <c r="B126" s="4">
        <v>2060.0079999999998</v>
      </c>
    </row>
    <row r="127" spans="1:2" x14ac:dyDescent="0.35">
      <c r="A127" s="3">
        <v>37043</v>
      </c>
      <c r="B127" s="4">
        <v>2086.913</v>
      </c>
    </row>
    <row r="128" spans="1:2" x14ac:dyDescent="0.35">
      <c r="A128" s="3">
        <v>37073</v>
      </c>
      <c r="B128" s="4">
        <v>2140.7170000000001</v>
      </c>
    </row>
    <row r="129" spans="1:2" x14ac:dyDescent="0.35">
      <c r="A129" s="3">
        <v>37104</v>
      </c>
      <c r="B129" s="4">
        <v>2219.6379999999999</v>
      </c>
    </row>
    <row r="130" spans="1:2" x14ac:dyDescent="0.35">
      <c r="A130" s="3">
        <v>37135</v>
      </c>
      <c r="B130" s="4">
        <v>1719.693</v>
      </c>
    </row>
    <row r="131" spans="1:2" x14ac:dyDescent="0.35">
      <c r="A131" s="3">
        <v>37165</v>
      </c>
      <c r="B131" s="4">
        <v>1966.7159999999999</v>
      </c>
    </row>
    <row r="132" spans="1:2" x14ac:dyDescent="0.35">
      <c r="A132" s="3">
        <v>37196</v>
      </c>
      <c r="B132" s="4">
        <v>1990.614</v>
      </c>
    </row>
    <row r="133" spans="1:2" x14ac:dyDescent="0.35">
      <c r="A133" s="3">
        <v>37226</v>
      </c>
      <c r="B133" s="4">
        <v>2000.729</v>
      </c>
    </row>
    <row r="134" spans="1:2" x14ac:dyDescent="0.35">
      <c r="A134" s="3">
        <v>37257</v>
      </c>
      <c r="B134" s="4">
        <v>1776.6289999999999</v>
      </c>
    </row>
    <row r="135" spans="1:2" x14ac:dyDescent="0.35">
      <c r="A135" s="3">
        <v>37288</v>
      </c>
      <c r="B135" s="4">
        <v>1785.595</v>
      </c>
    </row>
    <row r="136" spans="1:2" x14ac:dyDescent="0.35">
      <c r="A136" s="3">
        <v>37316</v>
      </c>
      <c r="B136" s="4">
        <v>2031.912</v>
      </c>
    </row>
    <row r="137" spans="1:2" x14ac:dyDescent="0.35">
      <c r="A137" s="3">
        <v>37347</v>
      </c>
      <c r="B137" s="4">
        <v>2063.3980000000001</v>
      </c>
    </row>
    <row r="138" spans="1:2" x14ac:dyDescent="0.35">
      <c r="A138" s="3">
        <v>37377</v>
      </c>
      <c r="B138" s="4">
        <v>2085.7629999999999</v>
      </c>
    </row>
    <row r="139" spans="1:2" x14ac:dyDescent="0.35">
      <c r="A139" s="3">
        <v>37408</v>
      </c>
      <c r="B139" s="4">
        <v>2011.2670000000001</v>
      </c>
    </row>
    <row r="140" spans="1:2" x14ac:dyDescent="0.35">
      <c r="A140" s="3">
        <v>37438</v>
      </c>
      <c r="B140" s="4">
        <v>2089.2579999999998</v>
      </c>
    </row>
    <row r="141" spans="1:2" x14ac:dyDescent="0.35">
      <c r="A141" s="3">
        <v>37469</v>
      </c>
      <c r="B141" s="4">
        <v>2043.56</v>
      </c>
    </row>
    <row r="142" spans="1:2" x14ac:dyDescent="0.35">
      <c r="A142" s="3">
        <v>37500</v>
      </c>
      <c r="B142" s="4">
        <v>1746.155</v>
      </c>
    </row>
    <row r="143" spans="1:2" x14ac:dyDescent="0.35">
      <c r="A143" s="3">
        <v>37530</v>
      </c>
      <c r="B143" s="4">
        <v>1929.771</v>
      </c>
    </row>
    <row r="144" spans="1:2" x14ac:dyDescent="0.35">
      <c r="A144" s="3">
        <v>37561</v>
      </c>
      <c r="B144" s="4">
        <v>1874.345</v>
      </c>
    </row>
    <row r="145" spans="1:2" x14ac:dyDescent="0.35">
      <c r="A145" s="3">
        <v>37591</v>
      </c>
      <c r="B145" s="4">
        <v>2010.3520000000001</v>
      </c>
    </row>
    <row r="146" spans="1:2" x14ac:dyDescent="0.35">
      <c r="A146" s="3">
        <v>37622</v>
      </c>
      <c r="B146" s="4">
        <v>1794.0329999999999</v>
      </c>
    </row>
    <row r="147" spans="1:2" x14ac:dyDescent="0.35">
      <c r="A147" s="3">
        <v>37653</v>
      </c>
      <c r="B147" s="4">
        <v>1762.489</v>
      </c>
    </row>
    <row r="148" spans="1:2" x14ac:dyDescent="0.35">
      <c r="A148" s="3">
        <v>37681</v>
      </c>
      <c r="B148" s="4">
        <v>2082.4659999999999</v>
      </c>
    </row>
    <row r="149" spans="1:2" x14ac:dyDescent="0.35">
      <c r="A149" s="3">
        <v>37712</v>
      </c>
      <c r="B149" s="4">
        <v>2115.8989999999999</v>
      </c>
    </row>
    <row r="150" spans="1:2" x14ac:dyDescent="0.35">
      <c r="A150" s="3">
        <v>37742</v>
      </c>
      <c r="B150" s="4">
        <v>2120.9110000000001</v>
      </c>
    </row>
    <row r="151" spans="1:2" x14ac:dyDescent="0.35">
      <c r="A151" s="3">
        <v>37773</v>
      </c>
      <c r="B151" s="4">
        <v>2143.6709999999998</v>
      </c>
    </row>
    <row r="152" spans="1:2" x14ac:dyDescent="0.35">
      <c r="A152" s="3">
        <v>37803</v>
      </c>
      <c r="B152" s="4">
        <v>2236.3490000000002</v>
      </c>
    </row>
    <row r="153" spans="1:2" x14ac:dyDescent="0.35">
      <c r="A153" s="3">
        <v>37834</v>
      </c>
      <c r="B153" s="4">
        <v>2189.36</v>
      </c>
    </row>
    <row r="154" spans="1:2" x14ac:dyDescent="0.35">
      <c r="A154" s="3">
        <v>37865</v>
      </c>
      <c r="B154" s="4">
        <v>1943.4059999999999</v>
      </c>
    </row>
    <row r="155" spans="1:2" x14ac:dyDescent="0.35">
      <c r="A155" s="3">
        <v>37895</v>
      </c>
      <c r="B155" s="4">
        <v>2135.4699999999998</v>
      </c>
    </row>
    <row r="156" spans="1:2" x14ac:dyDescent="0.35">
      <c r="A156" s="3">
        <v>37926</v>
      </c>
      <c r="B156" s="4">
        <v>2091.0540000000001</v>
      </c>
    </row>
    <row r="157" spans="1:2" x14ac:dyDescent="0.35">
      <c r="A157" s="3">
        <v>37956</v>
      </c>
      <c r="B157" s="4">
        <v>2154.6770000000001</v>
      </c>
    </row>
    <row r="158" spans="1:2" x14ac:dyDescent="0.35">
      <c r="A158" s="3">
        <v>37987</v>
      </c>
      <c r="B158" s="4">
        <v>1847.508</v>
      </c>
    </row>
    <row r="159" spans="1:2" x14ac:dyDescent="0.35">
      <c r="A159" s="3">
        <v>38018</v>
      </c>
      <c r="B159" s="4">
        <v>1852.0060000000001</v>
      </c>
    </row>
    <row r="160" spans="1:2" x14ac:dyDescent="0.35">
      <c r="A160" s="3">
        <v>38047</v>
      </c>
      <c r="B160" s="4">
        <v>2145.4459999999999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F339E-4DDE-4BAF-9581-6D88514D02C5}">
  <dimension ref="A1:B96"/>
  <sheetViews>
    <sheetView topLeftCell="A71" workbookViewId="0">
      <selection activeCell="B1" sqref="B1"/>
    </sheetView>
  </sheetViews>
  <sheetFormatPr defaultRowHeight="15.5" x14ac:dyDescent="0.35"/>
  <sheetData>
    <row r="1" spans="1:2" ht="16" thickBot="1" x14ac:dyDescent="0.4">
      <c r="A1" t="s">
        <v>3</v>
      </c>
      <c r="B1" s="24" t="s">
        <v>201</v>
      </c>
    </row>
    <row r="2" spans="1:2" ht="16" thickTop="1" x14ac:dyDescent="0.35">
      <c r="A2">
        <v>1</v>
      </c>
      <c r="B2" s="17">
        <v>22.909947826000234</v>
      </c>
    </row>
    <row r="3" spans="1:2" x14ac:dyDescent="0.35">
      <c r="A3">
        <v>2</v>
      </c>
      <c r="B3" s="18">
        <v>-0.85769805452127912</v>
      </c>
    </row>
    <row r="4" spans="1:2" x14ac:dyDescent="0.35">
      <c r="A4">
        <v>3</v>
      </c>
      <c r="B4" s="17">
        <v>51.316281064958048</v>
      </c>
    </row>
    <row r="5" spans="1:2" x14ac:dyDescent="0.35">
      <c r="A5">
        <v>4</v>
      </c>
      <c r="B5" s="18">
        <v>-101.82298981556323</v>
      </c>
    </row>
    <row r="6" spans="1:2" x14ac:dyDescent="0.35">
      <c r="A6">
        <v>5</v>
      </c>
      <c r="B6" s="17">
        <v>31.683114303915772</v>
      </c>
    </row>
    <row r="7" spans="1:2" x14ac:dyDescent="0.35">
      <c r="A7">
        <v>6</v>
      </c>
      <c r="B7" s="18">
        <v>-16.698156576604561</v>
      </c>
    </row>
    <row r="8" spans="1:2" x14ac:dyDescent="0.35">
      <c r="A8">
        <v>7</v>
      </c>
      <c r="B8" s="17">
        <v>-58.590302457125972</v>
      </c>
    </row>
    <row r="9" spans="1:2" x14ac:dyDescent="0.35">
      <c r="A9">
        <v>8</v>
      </c>
      <c r="B9" s="18">
        <v>-43.839073337647051</v>
      </c>
    </row>
    <row r="10" spans="1:2" x14ac:dyDescent="0.35">
      <c r="A10">
        <v>9</v>
      </c>
      <c r="B10" s="17">
        <v>-134.70109421816801</v>
      </c>
    </row>
    <row r="11" spans="1:2" x14ac:dyDescent="0.35">
      <c r="A11">
        <v>10</v>
      </c>
      <c r="B11" s="18">
        <v>-111.87224009868896</v>
      </c>
    </row>
    <row r="12" spans="1:2" x14ac:dyDescent="0.35">
      <c r="A12">
        <v>11</v>
      </c>
      <c r="B12" s="17">
        <v>-141.76001097921016</v>
      </c>
    </row>
    <row r="13" spans="1:2" x14ac:dyDescent="0.35">
      <c r="A13">
        <v>12</v>
      </c>
      <c r="B13" s="18">
        <v>-34.175062860840399</v>
      </c>
    </row>
    <row r="14" spans="1:2" x14ac:dyDescent="0.35">
      <c r="A14">
        <v>13</v>
      </c>
      <c r="B14" s="17">
        <v>-10.231144733572137</v>
      </c>
    </row>
    <row r="15" spans="1:2" x14ac:dyDescent="0.35">
      <c r="A15">
        <v>14</v>
      </c>
      <c r="B15" s="18">
        <v>-3.4915703625165406</v>
      </c>
    </row>
    <row r="16" spans="1:2" x14ac:dyDescent="0.35">
      <c r="A16">
        <v>15</v>
      </c>
      <c r="B16" s="17">
        <v>32.603629008540565</v>
      </c>
    </row>
    <row r="17" spans="1:2" x14ac:dyDescent="0.35">
      <c r="A17">
        <v>16</v>
      </c>
      <c r="B17" s="18">
        <v>105.18757837959652</v>
      </c>
    </row>
    <row r="18" spans="1:2" x14ac:dyDescent="0.35">
      <c r="A18">
        <v>17</v>
      </c>
      <c r="B18" s="17">
        <v>-3.9570972493470435</v>
      </c>
    </row>
    <row r="19" spans="1:2" x14ac:dyDescent="0.35">
      <c r="A19">
        <v>18</v>
      </c>
      <c r="B19" s="18">
        <v>-202.48714787828999</v>
      </c>
    </row>
    <row r="20" spans="1:2" x14ac:dyDescent="0.35">
      <c r="A20">
        <v>19</v>
      </c>
      <c r="B20" s="17">
        <v>-40.701073507234014</v>
      </c>
    </row>
    <row r="21" spans="1:2" x14ac:dyDescent="0.35">
      <c r="A21">
        <v>20</v>
      </c>
      <c r="B21" s="18">
        <v>-6.0356241361773755</v>
      </c>
    </row>
    <row r="22" spans="1:2" x14ac:dyDescent="0.35">
      <c r="A22">
        <v>21</v>
      </c>
      <c r="B22" s="17">
        <v>29.809575234878821</v>
      </c>
    </row>
    <row r="23" spans="1:2" x14ac:dyDescent="0.35">
      <c r="A23">
        <v>22</v>
      </c>
      <c r="B23" s="18">
        <v>24.389649605935347</v>
      </c>
    </row>
    <row r="24" spans="1:2" x14ac:dyDescent="0.35">
      <c r="A24">
        <v>23</v>
      </c>
      <c r="B24" s="17">
        <v>95.275098976991785</v>
      </c>
    </row>
    <row r="25" spans="1:2" x14ac:dyDescent="0.35">
      <c r="A25">
        <v>24</v>
      </c>
      <c r="B25" s="18">
        <v>75.100267346938836</v>
      </c>
    </row>
    <row r="26" spans="1:2" x14ac:dyDescent="0.35">
      <c r="A26">
        <v>25</v>
      </c>
      <c r="B26" s="17">
        <v>130.13240572578479</v>
      </c>
    </row>
    <row r="27" spans="1:2" x14ac:dyDescent="0.35">
      <c r="A27">
        <v>26</v>
      </c>
      <c r="B27" s="18">
        <v>101.80220034841773</v>
      </c>
    </row>
    <row r="28" spans="1:2" x14ac:dyDescent="0.35">
      <c r="A28">
        <v>27</v>
      </c>
      <c r="B28" s="17">
        <v>21.85161997105206</v>
      </c>
    </row>
    <row r="29" spans="1:2" x14ac:dyDescent="0.35">
      <c r="A29">
        <v>28</v>
      </c>
      <c r="B29" s="18">
        <v>151.92678959368527</v>
      </c>
    </row>
    <row r="30" spans="1:2" x14ac:dyDescent="0.35">
      <c r="A30">
        <v>29</v>
      </c>
      <c r="B30" s="17">
        <v>74.106334216319283</v>
      </c>
    </row>
    <row r="31" spans="1:2" x14ac:dyDescent="0.35">
      <c r="A31">
        <v>30</v>
      </c>
      <c r="B31" s="18">
        <v>99.376503838953795</v>
      </c>
    </row>
    <row r="32" spans="1:2" x14ac:dyDescent="0.35">
      <c r="A32">
        <v>31</v>
      </c>
      <c r="B32" s="17">
        <v>31.421798461587287</v>
      </c>
    </row>
    <row r="33" spans="1:2" x14ac:dyDescent="0.35">
      <c r="A33">
        <v>32</v>
      </c>
      <c r="B33" s="18">
        <v>36.757468084221273</v>
      </c>
    </row>
    <row r="34" spans="1:2" x14ac:dyDescent="0.35">
      <c r="A34">
        <v>33</v>
      </c>
      <c r="B34" s="17">
        <v>40.006887706854968</v>
      </c>
    </row>
    <row r="35" spans="1:2" x14ac:dyDescent="0.35">
      <c r="A35">
        <v>34</v>
      </c>
      <c r="B35" s="18">
        <v>9.3851823294889982</v>
      </c>
    </row>
    <row r="36" spans="1:2" x14ac:dyDescent="0.35">
      <c r="A36">
        <v>35</v>
      </c>
      <c r="B36" s="17">
        <v>-7.8651480478772555</v>
      </c>
    </row>
    <row r="37" spans="1:2" x14ac:dyDescent="0.35">
      <c r="A37">
        <v>36</v>
      </c>
      <c r="B37" s="18">
        <v>-29.730759426352961</v>
      </c>
    </row>
    <row r="38" spans="1:2" x14ac:dyDescent="0.35">
      <c r="A38">
        <v>37</v>
      </c>
      <c r="B38" s="17">
        <v>21.152599204070384</v>
      </c>
    </row>
    <row r="39" spans="1:2" x14ac:dyDescent="0.35">
      <c r="A39">
        <v>38</v>
      </c>
      <c r="B39" s="18">
        <v>95.055614078280996</v>
      </c>
    </row>
    <row r="40" spans="1:2" x14ac:dyDescent="0.35">
      <c r="A40">
        <v>39</v>
      </c>
      <c r="B40" s="17">
        <v>124.52625395249265</v>
      </c>
    </row>
    <row r="41" spans="1:2" x14ac:dyDescent="0.35">
      <c r="A41">
        <v>40</v>
      </c>
      <c r="B41" s="18">
        <v>60.431643826703521</v>
      </c>
    </row>
    <row r="42" spans="1:2" x14ac:dyDescent="0.35">
      <c r="A42">
        <v>41</v>
      </c>
      <c r="B42" s="17">
        <v>18.545408700915004</v>
      </c>
    </row>
    <row r="43" spans="1:2" x14ac:dyDescent="0.35">
      <c r="A43">
        <v>42</v>
      </c>
      <c r="B43" s="18">
        <v>25.223798575126921</v>
      </c>
    </row>
    <row r="44" spans="1:2" x14ac:dyDescent="0.35">
      <c r="A44">
        <v>43</v>
      </c>
      <c r="B44" s="17">
        <v>-5.6736865506622962</v>
      </c>
    </row>
    <row r="45" spans="1:2" x14ac:dyDescent="0.35">
      <c r="A45">
        <v>44</v>
      </c>
      <c r="B45" s="18">
        <v>-25.480796676450836</v>
      </c>
    </row>
    <row r="46" spans="1:2" x14ac:dyDescent="0.35">
      <c r="A46">
        <v>45</v>
      </c>
      <c r="B46" s="17">
        <v>80.033843197760461</v>
      </c>
    </row>
    <row r="47" spans="1:2" x14ac:dyDescent="0.35">
      <c r="A47">
        <v>46</v>
      </c>
      <c r="B47" s="18">
        <v>56.255358071971614</v>
      </c>
    </row>
    <row r="48" spans="1:2" x14ac:dyDescent="0.35">
      <c r="A48">
        <v>47</v>
      </c>
      <c r="B48" s="17">
        <v>74.819247946182713</v>
      </c>
    </row>
    <row r="49" spans="1:2" x14ac:dyDescent="0.35">
      <c r="A49">
        <v>48</v>
      </c>
      <c r="B49" s="18">
        <v>43.308856819284529</v>
      </c>
    </row>
    <row r="50" spans="1:2" x14ac:dyDescent="0.35">
      <c r="A50">
        <v>49</v>
      </c>
      <c r="B50" s="17">
        <v>29.099435701285529</v>
      </c>
    </row>
    <row r="51" spans="1:2" x14ac:dyDescent="0.35">
      <c r="A51">
        <v>50</v>
      </c>
      <c r="B51" s="18">
        <v>36.83367082707332</v>
      </c>
    </row>
    <row r="52" spans="1:2" x14ac:dyDescent="0.35">
      <c r="A52">
        <v>51</v>
      </c>
      <c r="B52" s="17">
        <v>38.930530952862682</v>
      </c>
    </row>
    <row r="53" spans="1:2" x14ac:dyDescent="0.35">
      <c r="A53">
        <v>52</v>
      </c>
      <c r="B53" s="18">
        <v>-22.918858921349283</v>
      </c>
    </row>
    <row r="54" spans="1:2" x14ac:dyDescent="0.35">
      <c r="A54">
        <v>53</v>
      </c>
      <c r="B54" s="17">
        <v>-22.600873795560346</v>
      </c>
    </row>
    <row r="55" spans="1:2" x14ac:dyDescent="0.35">
      <c r="A55">
        <v>54</v>
      </c>
      <c r="B55" s="18">
        <v>29.148736330228985</v>
      </c>
    </row>
    <row r="56" spans="1:2" x14ac:dyDescent="0.35">
      <c r="A56">
        <v>55</v>
      </c>
      <c r="B56" s="17">
        <v>-67.138528543982829</v>
      </c>
    </row>
    <row r="57" spans="1:2" x14ac:dyDescent="0.35">
      <c r="A57">
        <v>56</v>
      </c>
      <c r="B57" s="18">
        <v>-44.965418418193622</v>
      </c>
    </row>
    <row r="58" spans="1:2" x14ac:dyDescent="0.35">
      <c r="A58">
        <v>57</v>
      </c>
      <c r="B58" s="17">
        <v>-25.070558292405394</v>
      </c>
    </row>
    <row r="59" spans="1:2" x14ac:dyDescent="0.35">
      <c r="A59">
        <v>58</v>
      </c>
      <c r="B59" s="18">
        <v>-57.208823166616412</v>
      </c>
    </row>
    <row r="60" spans="1:2" x14ac:dyDescent="0.35">
      <c r="A60">
        <v>59</v>
      </c>
      <c r="B60" s="17">
        <v>-16.495713040827695</v>
      </c>
    </row>
    <row r="61" spans="1:2" x14ac:dyDescent="0.35">
      <c r="A61">
        <v>60</v>
      </c>
      <c r="B61" s="18">
        <v>-72.23188391614849</v>
      </c>
    </row>
    <row r="62" spans="1:2" x14ac:dyDescent="0.35">
      <c r="A62">
        <v>61</v>
      </c>
      <c r="B62" s="17">
        <v>-122.67808478257052</v>
      </c>
    </row>
    <row r="63" spans="1:2" x14ac:dyDescent="0.35">
      <c r="A63">
        <v>62</v>
      </c>
      <c r="B63" s="18">
        <v>-88.444629405204751</v>
      </c>
    </row>
    <row r="64" spans="1:2" x14ac:dyDescent="0.35">
      <c r="A64">
        <v>63</v>
      </c>
      <c r="B64" s="17">
        <v>-194.10054902783827</v>
      </c>
    </row>
    <row r="65" spans="1:2" x14ac:dyDescent="0.35">
      <c r="A65">
        <v>64</v>
      </c>
      <c r="B65" s="18">
        <v>-142.76871865047292</v>
      </c>
    </row>
    <row r="66" spans="1:2" x14ac:dyDescent="0.35">
      <c r="A66">
        <v>65</v>
      </c>
      <c r="B66" s="17">
        <v>-92.709513273106722</v>
      </c>
    </row>
    <row r="67" spans="1:2" x14ac:dyDescent="0.35">
      <c r="A67">
        <v>66</v>
      </c>
      <c r="B67" s="18">
        <v>-34.419682895739697</v>
      </c>
    </row>
    <row r="68" spans="1:2" x14ac:dyDescent="0.35">
      <c r="A68">
        <v>67</v>
      </c>
      <c r="B68" s="17">
        <v>-16.906727518374055</v>
      </c>
    </row>
    <row r="69" spans="1:2" x14ac:dyDescent="0.35">
      <c r="A69">
        <v>68</v>
      </c>
      <c r="B69" s="18">
        <v>29.073602858992672</v>
      </c>
    </row>
    <row r="70" spans="1:2" x14ac:dyDescent="0.35">
      <c r="A70">
        <v>69</v>
      </c>
      <c r="B70" s="17">
        <v>-41.777316763641693</v>
      </c>
    </row>
    <row r="71" spans="1:2" x14ac:dyDescent="0.35">
      <c r="A71">
        <v>70</v>
      </c>
      <c r="B71" s="18">
        <v>-20.532361386275625</v>
      </c>
    </row>
    <row r="72" spans="1:2" x14ac:dyDescent="0.35">
      <c r="A72">
        <v>71</v>
      </c>
      <c r="B72" s="17">
        <v>-116.89103100890975</v>
      </c>
    </row>
    <row r="73" spans="1:2" x14ac:dyDescent="0.35">
      <c r="A73">
        <v>72</v>
      </c>
      <c r="B73" s="18">
        <v>-31.696981632652523</v>
      </c>
    </row>
    <row r="74" spans="1:2" x14ac:dyDescent="0.35">
      <c r="A74">
        <v>73</v>
      </c>
      <c r="B74" s="17">
        <v>-112.98596224749758</v>
      </c>
    </row>
    <row r="75" spans="1:2" x14ac:dyDescent="0.35">
      <c r="A75">
        <v>74</v>
      </c>
      <c r="B75" s="18">
        <v>-79.829286618554306</v>
      </c>
    </row>
    <row r="76" spans="1:2" x14ac:dyDescent="0.35">
      <c r="A76">
        <v>75</v>
      </c>
      <c r="B76" s="17">
        <v>-51.460985989610435</v>
      </c>
    </row>
    <row r="77" spans="1:2" x14ac:dyDescent="0.35">
      <c r="A77">
        <v>76</v>
      </c>
      <c r="B77" s="18">
        <v>-102.97693536066708</v>
      </c>
    </row>
    <row r="78" spans="1:2" x14ac:dyDescent="0.35">
      <c r="A78">
        <v>77</v>
      </c>
      <c r="B78" s="17">
        <v>-29.979509731723738</v>
      </c>
    </row>
    <row r="79" spans="1:2" x14ac:dyDescent="0.35">
      <c r="A79">
        <v>78</v>
      </c>
      <c r="B79" s="18">
        <v>35.635540897220608</v>
      </c>
    </row>
    <row r="80" spans="1:2" x14ac:dyDescent="0.35">
      <c r="A80">
        <v>79</v>
      </c>
      <c r="B80" s="17">
        <v>73.149716526163729</v>
      </c>
    </row>
    <row r="81" spans="1:2" x14ac:dyDescent="0.35">
      <c r="A81">
        <v>80</v>
      </c>
      <c r="B81" s="18">
        <v>80.824267155107918</v>
      </c>
    </row>
    <row r="82" spans="1:2" x14ac:dyDescent="0.35">
      <c r="A82">
        <v>81</v>
      </c>
      <c r="B82" s="17">
        <v>10.92956778405096</v>
      </c>
    </row>
    <row r="83" spans="1:2" x14ac:dyDescent="0.35">
      <c r="A83">
        <v>82</v>
      </c>
      <c r="B83" s="18">
        <v>55.968743412994627</v>
      </c>
    </row>
    <row r="84" spans="1:2" x14ac:dyDescent="0.35">
      <c r="A84">
        <v>83</v>
      </c>
      <c r="B84" s="17">
        <v>30.287294041937912</v>
      </c>
    </row>
    <row r="85" spans="1:2" x14ac:dyDescent="0.35">
      <c r="A85">
        <v>84</v>
      </c>
      <c r="B85" s="18">
        <v>49.425563669772146</v>
      </c>
    </row>
    <row r="86" spans="1:2" x14ac:dyDescent="0.35">
      <c r="A86">
        <v>85</v>
      </c>
      <c r="B86" s="17">
        <v>42.600803306504986</v>
      </c>
    </row>
    <row r="87" spans="1:2" x14ac:dyDescent="0.35">
      <c r="A87">
        <v>86</v>
      </c>
      <c r="B87" s="18">
        <v>-61.068300812974257</v>
      </c>
    </row>
    <row r="88" spans="1:2" x14ac:dyDescent="0.35">
      <c r="A88">
        <v>87</v>
      </c>
      <c r="B88" s="17">
        <v>-23.666779932452755</v>
      </c>
    </row>
    <row r="89" spans="1:2" x14ac:dyDescent="0.35">
      <c r="A89">
        <v>88</v>
      </c>
      <c r="B89" s="18">
        <v>52.94149094806744</v>
      </c>
    </row>
    <row r="90" spans="1:2" x14ac:dyDescent="0.35">
      <c r="A90">
        <v>89</v>
      </c>
      <c r="B90" s="17">
        <v>24.9121368285887</v>
      </c>
    </row>
    <row r="91" spans="1:2" x14ac:dyDescent="0.35">
      <c r="A91">
        <v>90</v>
      </c>
      <c r="B91" s="18">
        <v>64.220407709110077</v>
      </c>
    </row>
    <row r="92" spans="1:2" x14ac:dyDescent="0.35">
      <c r="A92">
        <v>91</v>
      </c>
      <c r="B92" s="17">
        <v>84.438803589631107</v>
      </c>
    </row>
    <row r="93" spans="1:2" x14ac:dyDescent="0.35">
      <c r="A93">
        <v>92</v>
      </c>
      <c r="B93" s="18">
        <v>-26.334425529847749</v>
      </c>
    </row>
    <row r="94" spans="1:2" x14ac:dyDescent="0.35">
      <c r="A94">
        <v>93</v>
      </c>
      <c r="B94" s="17">
        <v>40.769095350672842</v>
      </c>
    </row>
    <row r="95" spans="1:2" x14ac:dyDescent="0.35">
      <c r="A95">
        <v>94</v>
      </c>
      <c r="B95" s="18">
        <v>43.614491231193824</v>
      </c>
    </row>
    <row r="96" spans="1:2" x14ac:dyDescent="0.35">
      <c r="A96">
        <v>95</v>
      </c>
      <c r="B96" s="19">
        <v>82.630262111714728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E9E71-6E00-44C7-860E-8CF46E6435A2}">
  <dimension ref="B1:O42"/>
  <sheetViews>
    <sheetView showGridLines="0" zoomScale="110" zoomScaleNormal="110" workbookViewId="0">
      <selection activeCell="G9" sqref="G9"/>
    </sheetView>
  </sheetViews>
  <sheetFormatPr defaultRowHeight="15.5" x14ac:dyDescent="0.35"/>
  <cols>
    <col min="3" max="3" width="10.5" customWidth="1"/>
    <col min="7" max="7" width="10.5" customWidth="1"/>
    <col min="11" max="11" width="10.5" customWidth="1"/>
    <col min="12" max="12" width="13.83203125" bestFit="1" customWidth="1"/>
  </cols>
  <sheetData>
    <row r="1" spans="2:15" ht="18.5" x14ac:dyDescent="0.45">
      <c r="B1" s="6" t="s">
        <v>223</v>
      </c>
      <c r="N1" t="s">
        <v>238</v>
      </c>
    </row>
    <row r="3" spans="2:15" x14ac:dyDescent="0.35">
      <c r="B3" s="25" t="s">
        <v>5</v>
      </c>
      <c r="C3" s="26"/>
      <c r="D3" s="26"/>
      <c r="E3" s="26"/>
      <c r="F3" s="26"/>
      <c r="G3" s="26"/>
      <c r="H3" s="26"/>
      <c r="I3" s="27"/>
      <c r="L3" s="25" t="s">
        <v>6</v>
      </c>
      <c r="M3" s="26"/>
      <c r="N3" s="26"/>
      <c r="O3" s="27"/>
    </row>
    <row r="4" spans="2:15" x14ac:dyDescent="0.35">
      <c r="B4" s="31" t="s">
        <v>11</v>
      </c>
      <c r="C4" s="32"/>
      <c r="D4" s="31" t="s">
        <v>232</v>
      </c>
      <c r="E4" s="32"/>
      <c r="F4" s="31" t="s">
        <v>233</v>
      </c>
      <c r="G4" s="32"/>
      <c r="H4" s="31" t="s">
        <v>234</v>
      </c>
      <c r="I4" s="32"/>
      <c r="L4" s="12" t="s">
        <v>7</v>
      </c>
      <c r="M4" s="12" t="s">
        <v>8</v>
      </c>
      <c r="N4" s="12" t="s">
        <v>9</v>
      </c>
      <c r="O4" s="12" t="s">
        <v>10</v>
      </c>
    </row>
    <row r="5" spans="2:15" x14ac:dyDescent="0.35">
      <c r="L5" s="10">
        <v>7</v>
      </c>
      <c r="M5" s="10">
        <v>0</v>
      </c>
      <c r="N5" s="10">
        <v>2</v>
      </c>
      <c r="O5" s="10">
        <v>9</v>
      </c>
    </row>
    <row r="10" spans="2:15" ht="18.5" x14ac:dyDescent="0.45">
      <c r="B10" s="7" t="s">
        <v>11</v>
      </c>
    </row>
    <row r="12" spans="2:15" x14ac:dyDescent="0.35">
      <c r="C12" s="25" t="s">
        <v>12</v>
      </c>
      <c r="D12" s="26"/>
      <c r="E12" s="26"/>
      <c r="F12" s="26"/>
      <c r="G12" s="26"/>
      <c r="H12" s="26"/>
      <c r="I12" s="26"/>
      <c r="J12" s="26"/>
      <c r="K12" s="27"/>
    </row>
    <row r="13" spans="2:15" x14ac:dyDescent="0.35">
      <c r="C13" s="28" t="s">
        <v>13</v>
      </c>
      <c r="D13" s="29"/>
      <c r="E13" s="29"/>
      <c r="F13" s="30"/>
      <c r="G13" s="33" t="s">
        <v>14</v>
      </c>
      <c r="H13" s="34"/>
      <c r="I13" s="34"/>
      <c r="J13" s="34"/>
      <c r="K13" s="35"/>
    </row>
    <row r="14" spans="2:15" x14ac:dyDescent="0.35">
      <c r="C14" s="28" t="s">
        <v>15</v>
      </c>
      <c r="D14" s="29"/>
      <c r="E14" s="29"/>
      <c r="F14" s="30"/>
      <c r="G14" s="33" t="s">
        <v>225</v>
      </c>
      <c r="H14" s="34"/>
      <c r="I14" s="34"/>
      <c r="J14" s="34"/>
      <c r="K14" s="35"/>
    </row>
    <row r="15" spans="2:15" x14ac:dyDescent="0.35">
      <c r="C15" s="28" t="s">
        <v>226</v>
      </c>
      <c r="D15" s="29"/>
      <c r="E15" s="29"/>
      <c r="F15" s="30"/>
      <c r="G15" s="33" t="s">
        <v>239</v>
      </c>
      <c r="H15" s="34"/>
      <c r="I15" s="34"/>
      <c r="J15" s="34"/>
      <c r="K15" s="35"/>
    </row>
    <row r="16" spans="2:15" x14ac:dyDescent="0.35">
      <c r="C16" s="28" t="s">
        <v>29</v>
      </c>
      <c r="D16" s="29"/>
      <c r="E16" s="29"/>
      <c r="F16" s="30"/>
      <c r="G16" s="33">
        <v>95</v>
      </c>
      <c r="H16" s="34"/>
      <c r="I16" s="34"/>
      <c r="J16" s="34"/>
      <c r="K16" s="35"/>
    </row>
    <row r="18" spans="2:12" x14ac:dyDescent="0.35">
      <c r="C18" s="25" t="s">
        <v>18</v>
      </c>
      <c r="D18" s="26"/>
      <c r="E18" s="26"/>
      <c r="F18" s="27"/>
    </row>
    <row r="19" spans="2:12" x14ac:dyDescent="0.35">
      <c r="C19" s="28" t="s">
        <v>20</v>
      </c>
      <c r="D19" s="29"/>
      <c r="E19" s="30"/>
      <c r="F19" s="11" t="s">
        <v>219</v>
      </c>
    </row>
    <row r="20" spans="2:12" x14ac:dyDescent="0.35">
      <c r="C20" s="28" t="s">
        <v>228</v>
      </c>
      <c r="D20" s="29"/>
      <c r="E20" s="30"/>
      <c r="F20" s="11" t="s">
        <v>201</v>
      </c>
    </row>
    <row r="22" spans="2:12" x14ac:dyDescent="0.35">
      <c r="C22" s="25" t="s">
        <v>229</v>
      </c>
      <c r="D22" s="26"/>
      <c r="E22" s="26"/>
      <c r="F22" s="26"/>
      <c r="G22" s="26"/>
      <c r="H22" s="26"/>
      <c r="I22" s="27"/>
    </row>
    <row r="23" spans="2:12" x14ac:dyDescent="0.35">
      <c r="C23" s="28" t="s">
        <v>230</v>
      </c>
      <c r="D23" s="29"/>
      <c r="E23" s="30"/>
      <c r="F23" s="33">
        <v>0</v>
      </c>
      <c r="G23" s="34"/>
      <c r="H23" s="34"/>
      <c r="I23" s="35"/>
    </row>
    <row r="24" spans="2:12" x14ac:dyDescent="0.35">
      <c r="C24" s="28" t="s">
        <v>231</v>
      </c>
      <c r="D24" s="29"/>
      <c r="E24" s="30"/>
      <c r="F24" s="33">
        <v>12</v>
      </c>
      <c r="G24" s="34"/>
      <c r="H24" s="34"/>
      <c r="I24" s="35"/>
    </row>
    <row r="27" spans="2:12" ht="18.5" x14ac:dyDescent="0.45">
      <c r="B27" s="7" t="s">
        <v>232</v>
      </c>
      <c r="F27" s="7" t="s">
        <v>233</v>
      </c>
      <c r="J27" s="7" t="s">
        <v>234</v>
      </c>
    </row>
    <row r="29" spans="2:12" x14ac:dyDescent="0.35">
      <c r="C29" s="9" t="s">
        <v>34</v>
      </c>
      <c r="D29" s="5" t="s">
        <v>235</v>
      </c>
      <c r="G29" s="9" t="s">
        <v>34</v>
      </c>
      <c r="H29" s="5" t="s">
        <v>236</v>
      </c>
      <c r="K29" s="9" t="s">
        <v>34</v>
      </c>
      <c r="L29" s="5" t="s">
        <v>237</v>
      </c>
    </row>
    <row r="30" spans="2:12" x14ac:dyDescent="0.35">
      <c r="C30" s="9">
        <v>0</v>
      </c>
      <c r="D30" s="8">
        <v>1</v>
      </c>
      <c r="G30" s="9">
        <v>0</v>
      </c>
      <c r="H30" s="8">
        <v>5020.1233578336187</v>
      </c>
      <c r="K30" s="9">
        <v>0</v>
      </c>
      <c r="L30" s="8">
        <v>1</v>
      </c>
    </row>
    <row r="31" spans="2:12" x14ac:dyDescent="0.35">
      <c r="C31" s="9">
        <v>1</v>
      </c>
      <c r="D31" s="8">
        <v>0.60221203279900415</v>
      </c>
      <c r="G31" s="9">
        <v>1</v>
      </c>
      <c r="H31" s="8">
        <v>3023.1786922227461</v>
      </c>
      <c r="K31" s="9">
        <v>1</v>
      </c>
      <c r="L31" s="8">
        <v>0.60221203279900415</v>
      </c>
    </row>
    <row r="32" spans="2:12" x14ac:dyDescent="0.35">
      <c r="C32" s="9">
        <v>2</v>
      </c>
      <c r="D32" s="8">
        <v>0.47292941598185334</v>
      </c>
      <c r="G32" s="9">
        <v>2</v>
      </c>
      <c r="H32" s="8">
        <v>2374.164007777114</v>
      </c>
      <c r="K32" s="9">
        <v>2</v>
      </c>
      <c r="L32" s="8">
        <v>0.17301592248533537</v>
      </c>
    </row>
    <row r="33" spans="3:12" x14ac:dyDescent="0.35">
      <c r="C33" s="9">
        <v>3</v>
      </c>
      <c r="D33" s="8">
        <v>0.33685589090271972</v>
      </c>
      <c r="G33" s="9">
        <v>3</v>
      </c>
      <c r="H33" s="8">
        <v>1691.0581261445964</v>
      </c>
      <c r="K33" s="9">
        <v>3</v>
      </c>
      <c r="L33" s="8">
        <v>-4.6332687452977188E-3</v>
      </c>
    </row>
    <row r="34" spans="3:12" x14ac:dyDescent="0.35">
      <c r="C34" s="9">
        <v>4</v>
      </c>
      <c r="D34" s="8">
        <v>0.22347066136975338</v>
      </c>
      <c r="G34" s="9">
        <v>4</v>
      </c>
      <c r="H34" s="8">
        <v>1121.8502869328258</v>
      </c>
      <c r="K34" s="9">
        <v>4</v>
      </c>
      <c r="L34" s="8">
        <v>-3.9928314859175355E-2</v>
      </c>
    </row>
    <row r="35" spans="3:12" x14ac:dyDescent="0.35">
      <c r="C35" s="9">
        <v>5</v>
      </c>
      <c r="D35" s="8">
        <v>0.18660983692718258</v>
      </c>
      <c r="G35" s="9">
        <v>5</v>
      </c>
      <c r="H35" s="8">
        <v>936.8044011596719</v>
      </c>
      <c r="K35" s="9">
        <v>5</v>
      </c>
      <c r="L35" s="8">
        <v>4.9540520057550073E-2</v>
      </c>
    </row>
    <row r="36" spans="3:12" x14ac:dyDescent="0.35">
      <c r="C36" s="9">
        <v>6</v>
      </c>
      <c r="D36" s="8">
        <v>0.14232856311650519</v>
      </c>
      <c r="G36" s="9">
        <v>6</v>
      </c>
      <c r="H36" s="8">
        <v>714.50694418806415</v>
      </c>
      <c r="K36" s="9">
        <v>6</v>
      </c>
      <c r="L36" s="8">
        <v>1.1303910041409208E-2</v>
      </c>
    </row>
    <row r="37" spans="3:12" x14ac:dyDescent="0.35">
      <c r="C37" s="9">
        <v>7</v>
      </c>
      <c r="D37" s="8">
        <v>0.1756069092999355</v>
      </c>
      <c r="G37" s="9">
        <v>7</v>
      </c>
      <c r="H37" s="8">
        <v>881.56834717357594</v>
      </c>
      <c r="K37" s="9">
        <v>7</v>
      </c>
      <c r="L37" s="8">
        <v>0.10385060229022793</v>
      </c>
    </row>
    <row r="38" spans="3:12" x14ac:dyDescent="0.35">
      <c r="C38" s="9">
        <v>8</v>
      </c>
      <c r="D38" s="8">
        <v>0.19220736618935358</v>
      </c>
      <c r="G38" s="9">
        <v>8</v>
      </c>
      <c r="H38" s="8">
        <v>964.90468855485358</v>
      </c>
      <c r="K38" s="9">
        <v>8</v>
      </c>
      <c r="L38" s="8">
        <v>6.5960112035085464E-2</v>
      </c>
    </row>
    <row r="39" spans="3:12" x14ac:dyDescent="0.35">
      <c r="C39" s="9">
        <v>9</v>
      </c>
      <c r="D39" s="8">
        <v>0.23303612915414262</v>
      </c>
      <c r="G39" s="9">
        <v>9</v>
      </c>
      <c r="H39" s="8">
        <v>1169.8701151858434</v>
      </c>
      <c r="K39" s="9">
        <v>9</v>
      </c>
      <c r="L39" s="8">
        <v>9.2126476313834818E-2</v>
      </c>
    </row>
    <row r="40" spans="3:12" x14ac:dyDescent="0.35">
      <c r="C40" s="9">
        <v>10</v>
      </c>
      <c r="D40" s="8">
        <v>0.17538908618478616</v>
      </c>
      <c r="G40" s="9">
        <v>10</v>
      </c>
      <c r="H40" s="8">
        <v>880.47484826533866</v>
      </c>
      <c r="K40" s="9">
        <v>10</v>
      </c>
      <c r="L40" s="8">
        <v>-6.9935282040493207E-2</v>
      </c>
    </row>
    <row r="41" spans="3:12" x14ac:dyDescent="0.35">
      <c r="C41" s="9">
        <v>11</v>
      </c>
      <c r="D41" s="8">
        <v>0.15904153020277226</v>
      </c>
      <c r="G41" s="9">
        <v>11</v>
      </c>
      <c r="H41" s="8">
        <v>798.40810063653794</v>
      </c>
      <c r="K41" s="9">
        <v>11</v>
      </c>
      <c r="L41" s="8">
        <v>8.9440715509833697E-3</v>
      </c>
    </row>
    <row r="42" spans="3:12" x14ac:dyDescent="0.35">
      <c r="C42" s="9">
        <v>12</v>
      </c>
      <c r="D42" s="8">
        <v>8.1263426731465652E-2</v>
      </c>
      <c r="G42" s="9">
        <v>12</v>
      </c>
      <c r="H42" s="8">
        <v>407.95242667223158</v>
      </c>
      <c r="K42" s="9">
        <v>12</v>
      </c>
      <c r="L42" s="8">
        <v>-7.7450989185116462E-2</v>
      </c>
    </row>
  </sheetData>
  <mergeCells count="23">
    <mergeCell ref="C23:E23"/>
    <mergeCell ref="C24:E24"/>
    <mergeCell ref="F23:I23"/>
    <mergeCell ref="F24:I24"/>
    <mergeCell ref="C12:K12"/>
    <mergeCell ref="C13:F13"/>
    <mergeCell ref="C14:F14"/>
    <mergeCell ref="C15:F15"/>
    <mergeCell ref="C16:F16"/>
    <mergeCell ref="G13:K13"/>
    <mergeCell ref="G14:K14"/>
    <mergeCell ref="G15:K15"/>
    <mergeCell ref="G16:K16"/>
    <mergeCell ref="L3:O3"/>
    <mergeCell ref="C18:F18"/>
    <mergeCell ref="C19:E19"/>
    <mergeCell ref="C20:E20"/>
    <mergeCell ref="C22:I22"/>
    <mergeCell ref="B4:C4"/>
    <mergeCell ref="D4:E4"/>
    <mergeCell ref="F4:G4"/>
    <mergeCell ref="H4:I4"/>
    <mergeCell ref="B3:I3"/>
  </mergeCells>
  <hyperlinks>
    <hyperlink ref="B4" location="'TS_Lags1'!$B$10:$B$10" display="Inputs" xr:uid="{77B708FC-0130-4A50-BB91-6766D99A2299}"/>
    <hyperlink ref="D4" location="'TS_Lags1'!$B$27:$B$27" display="ACF: Training" xr:uid="{B08F0754-09FE-469E-96B2-D6517B986F56}"/>
    <hyperlink ref="F4" location="'TS_Lags1'!$F$27:$F$27" display="ACVF: Training" xr:uid="{1B4B7694-8FC3-4376-AB16-02D9D5CA700A}"/>
    <hyperlink ref="H4" location="'TS_Lags1'!$J$27:$J$27" display="PACF: Training" xr:uid="{5AE5C4E5-BA2D-4534-8E9A-C4791A78C720}"/>
  </hyperlinks>
  <pageMargins left="0.7" right="0.7" top="0.75" bottom="0.75" header="0.3" footer="0.3"/>
  <tableParts count="3">
    <tablePart r:id="rId1"/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AAD59D-157D-480F-8A7F-A9EBB6CCED08}">
  <dimension ref="B1:O50"/>
  <sheetViews>
    <sheetView showGridLines="0" workbookViewId="0">
      <selection activeCell="K20" sqref="K20"/>
    </sheetView>
  </sheetViews>
  <sheetFormatPr defaultRowHeight="15.5" x14ac:dyDescent="0.35"/>
  <cols>
    <col min="3" max="3" width="10.5" customWidth="1"/>
    <col min="7" max="7" width="10.5" customWidth="1"/>
    <col min="11" max="11" width="10.5" customWidth="1"/>
    <col min="12" max="12" width="13.83203125" bestFit="1" customWidth="1"/>
  </cols>
  <sheetData>
    <row r="1" spans="2:15" ht="18.5" x14ac:dyDescent="0.45">
      <c r="B1" s="6" t="s">
        <v>223</v>
      </c>
      <c r="N1" t="s">
        <v>224</v>
      </c>
    </row>
    <row r="3" spans="2:15" x14ac:dyDescent="0.35">
      <c r="B3" s="25" t="s">
        <v>5</v>
      </c>
      <c r="C3" s="26"/>
      <c r="D3" s="26"/>
      <c r="E3" s="26"/>
      <c r="F3" s="26"/>
      <c r="G3" s="26"/>
      <c r="H3" s="26"/>
      <c r="I3" s="27"/>
      <c r="L3" s="25" t="s">
        <v>6</v>
      </c>
      <c r="M3" s="26"/>
      <c r="N3" s="26"/>
      <c r="O3" s="27"/>
    </row>
    <row r="4" spans="2:15" x14ac:dyDescent="0.35">
      <c r="B4" s="31" t="s">
        <v>11</v>
      </c>
      <c r="C4" s="32"/>
      <c r="D4" s="31" t="s">
        <v>232</v>
      </c>
      <c r="E4" s="32"/>
      <c r="F4" s="31" t="s">
        <v>233</v>
      </c>
      <c r="G4" s="32"/>
      <c r="H4" s="31" t="s">
        <v>234</v>
      </c>
      <c r="I4" s="32"/>
      <c r="L4" s="12" t="s">
        <v>7</v>
      </c>
      <c r="M4" s="12" t="s">
        <v>8</v>
      </c>
      <c r="N4" s="12" t="s">
        <v>9</v>
      </c>
      <c r="O4" s="12" t="s">
        <v>10</v>
      </c>
    </row>
    <row r="5" spans="2:15" x14ac:dyDescent="0.35">
      <c r="L5" s="10">
        <v>4</v>
      </c>
      <c r="M5" s="10">
        <v>21</v>
      </c>
      <c r="N5" s="10">
        <v>2</v>
      </c>
      <c r="O5" s="10">
        <v>27</v>
      </c>
    </row>
    <row r="10" spans="2:15" ht="18.5" x14ac:dyDescent="0.45">
      <c r="B10" s="7" t="s">
        <v>11</v>
      </c>
    </row>
    <row r="12" spans="2:15" x14ac:dyDescent="0.35">
      <c r="C12" s="25" t="s">
        <v>12</v>
      </c>
      <c r="D12" s="26"/>
      <c r="E12" s="26"/>
      <c r="F12" s="26"/>
      <c r="G12" s="26"/>
      <c r="H12" s="26"/>
      <c r="I12" s="26"/>
      <c r="J12" s="26"/>
      <c r="K12" s="27"/>
    </row>
    <row r="13" spans="2:15" x14ac:dyDescent="0.35">
      <c r="C13" s="28" t="s">
        <v>13</v>
      </c>
      <c r="D13" s="29"/>
      <c r="E13" s="29"/>
      <c r="F13" s="30"/>
      <c r="G13" s="33" t="s">
        <v>14</v>
      </c>
      <c r="H13" s="34"/>
      <c r="I13" s="34"/>
      <c r="J13" s="34"/>
      <c r="K13" s="35"/>
    </row>
    <row r="14" spans="2:15" x14ac:dyDescent="0.35">
      <c r="C14" s="28" t="s">
        <v>15</v>
      </c>
      <c r="D14" s="29"/>
      <c r="E14" s="29"/>
      <c r="F14" s="30"/>
      <c r="G14" s="33" t="s">
        <v>225</v>
      </c>
      <c r="H14" s="34"/>
      <c r="I14" s="34"/>
      <c r="J14" s="34"/>
      <c r="K14" s="35"/>
    </row>
    <row r="15" spans="2:15" x14ac:dyDescent="0.35">
      <c r="C15" s="28" t="s">
        <v>226</v>
      </c>
      <c r="D15" s="29"/>
      <c r="E15" s="29"/>
      <c r="F15" s="30"/>
      <c r="G15" s="33" t="s">
        <v>227</v>
      </c>
      <c r="H15" s="34"/>
      <c r="I15" s="34"/>
      <c r="J15" s="34"/>
      <c r="K15" s="35"/>
    </row>
    <row r="16" spans="2:15" x14ac:dyDescent="0.35">
      <c r="C16" s="28" t="s">
        <v>29</v>
      </c>
      <c r="D16" s="29"/>
      <c r="E16" s="29"/>
      <c r="F16" s="30"/>
      <c r="G16" s="33">
        <v>95</v>
      </c>
      <c r="H16" s="34"/>
      <c r="I16" s="34"/>
      <c r="J16" s="34"/>
      <c r="K16" s="35"/>
    </row>
    <row r="18" spans="2:12" x14ac:dyDescent="0.35">
      <c r="C18" s="25" t="s">
        <v>18</v>
      </c>
      <c r="D18" s="26"/>
      <c r="E18" s="26"/>
      <c r="F18" s="27"/>
    </row>
    <row r="19" spans="2:12" x14ac:dyDescent="0.35">
      <c r="C19" s="28" t="s">
        <v>20</v>
      </c>
      <c r="D19" s="29"/>
      <c r="E19" s="30"/>
      <c r="F19" s="11" t="s">
        <v>219</v>
      </c>
    </row>
    <row r="20" spans="2:12" x14ac:dyDescent="0.35">
      <c r="C20" s="28" t="s">
        <v>228</v>
      </c>
      <c r="D20" s="29"/>
      <c r="E20" s="30"/>
      <c r="F20" s="11" t="s">
        <v>201</v>
      </c>
    </row>
    <row r="22" spans="2:12" x14ac:dyDescent="0.35">
      <c r="C22" s="25" t="s">
        <v>229</v>
      </c>
      <c r="D22" s="26"/>
      <c r="E22" s="26"/>
      <c r="F22" s="26"/>
      <c r="G22" s="26"/>
      <c r="H22" s="26"/>
      <c r="I22" s="27"/>
    </row>
    <row r="23" spans="2:12" x14ac:dyDescent="0.35">
      <c r="C23" s="28" t="s">
        <v>230</v>
      </c>
      <c r="D23" s="29"/>
      <c r="E23" s="30"/>
      <c r="F23" s="33">
        <v>0</v>
      </c>
      <c r="G23" s="34"/>
      <c r="H23" s="34"/>
      <c r="I23" s="35"/>
    </row>
    <row r="24" spans="2:12" x14ac:dyDescent="0.35">
      <c r="C24" s="28" t="s">
        <v>231</v>
      </c>
      <c r="D24" s="29"/>
      <c r="E24" s="30"/>
      <c r="F24" s="33">
        <v>20</v>
      </c>
      <c r="G24" s="34"/>
      <c r="H24" s="34"/>
      <c r="I24" s="35"/>
    </row>
    <row r="27" spans="2:12" ht="18.5" x14ac:dyDescent="0.45">
      <c r="B27" s="7" t="s">
        <v>232</v>
      </c>
      <c r="F27" s="7" t="s">
        <v>233</v>
      </c>
      <c r="J27" s="7" t="s">
        <v>234</v>
      </c>
    </row>
    <row r="29" spans="2:12" x14ac:dyDescent="0.35">
      <c r="C29" s="9" t="s">
        <v>34</v>
      </c>
      <c r="D29" s="5" t="s">
        <v>235</v>
      </c>
      <c r="G29" s="9" t="s">
        <v>34</v>
      </c>
      <c r="H29" s="5" t="s">
        <v>236</v>
      </c>
      <c r="K29" s="9" t="s">
        <v>34</v>
      </c>
      <c r="L29" s="5" t="s">
        <v>237</v>
      </c>
    </row>
    <row r="30" spans="2:12" x14ac:dyDescent="0.35">
      <c r="C30" s="9">
        <v>0</v>
      </c>
      <c r="D30" s="8">
        <v>1</v>
      </c>
      <c r="G30" s="9">
        <v>0</v>
      </c>
      <c r="H30" s="8">
        <v>5020.1233578336187</v>
      </c>
      <c r="K30" s="9">
        <v>0</v>
      </c>
      <c r="L30" s="8">
        <v>1</v>
      </c>
    </row>
    <row r="31" spans="2:12" x14ac:dyDescent="0.35">
      <c r="C31" s="9">
        <v>1</v>
      </c>
      <c r="D31" s="8">
        <v>0.60221203279900415</v>
      </c>
      <c r="G31" s="9">
        <v>1</v>
      </c>
      <c r="H31" s="8">
        <v>3023.1786922227461</v>
      </c>
      <c r="K31" s="9">
        <v>1</v>
      </c>
      <c r="L31" s="8">
        <v>0.60221203279900415</v>
      </c>
    </row>
    <row r="32" spans="2:12" x14ac:dyDescent="0.35">
      <c r="C32" s="9">
        <v>2</v>
      </c>
      <c r="D32" s="8">
        <v>0.47292941598185334</v>
      </c>
      <c r="G32" s="9">
        <v>2</v>
      </c>
      <c r="H32" s="8">
        <v>2374.164007777114</v>
      </c>
      <c r="K32" s="9">
        <v>2</v>
      </c>
      <c r="L32" s="8">
        <v>0.17301592248533537</v>
      </c>
    </row>
    <row r="33" spans="3:12" x14ac:dyDescent="0.35">
      <c r="C33" s="9">
        <v>3</v>
      </c>
      <c r="D33" s="8">
        <v>0.33685589090271972</v>
      </c>
      <c r="G33" s="9">
        <v>3</v>
      </c>
      <c r="H33" s="8">
        <v>1691.0581261445964</v>
      </c>
      <c r="K33" s="9">
        <v>3</v>
      </c>
      <c r="L33" s="8">
        <v>-4.6332687452977188E-3</v>
      </c>
    </row>
    <row r="34" spans="3:12" x14ac:dyDescent="0.35">
      <c r="C34" s="9">
        <v>4</v>
      </c>
      <c r="D34" s="8">
        <v>0.22347066136975338</v>
      </c>
      <c r="G34" s="9">
        <v>4</v>
      </c>
      <c r="H34" s="8">
        <v>1121.8502869328258</v>
      </c>
      <c r="K34" s="9">
        <v>4</v>
      </c>
      <c r="L34" s="8">
        <v>-3.9928314859175355E-2</v>
      </c>
    </row>
    <row r="35" spans="3:12" x14ac:dyDescent="0.35">
      <c r="C35" s="9">
        <v>5</v>
      </c>
      <c r="D35" s="8">
        <v>0.18660983692718258</v>
      </c>
      <c r="G35" s="9">
        <v>5</v>
      </c>
      <c r="H35" s="8">
        <v>936.8044011596719</v>
      </c>
      <c r="K35" s="9">
        <v>5</v>
      </c>
      <c r="L35" s="8">
        <v>4.9540520057550073E-2</v>
      </c>
    </row>
    <row r="36" spans="3:12" x14ac:dyDescent="0.35">
      <c r="C36" s="9">
        <v>6</v>
      </c>
      <c r="D36" s="8">
        <v>0.14232856311650519</v>
      </c>
      <c r="G36" s="9">
        <v>6</v>
      </c>
      <c r="H36" s="8">
        <v>714.50694418806415</v>
      </c>
      <c r="K36" s="9">
        <v>6</v>
      </c>
      <c r="L36" s="8">
        <v>1.1303910041409208E-2</v>
      </c>
    </row>
    <row r="37" spans="3:12" x14ac:dyDescent="0.35">
      <c r="C37" s="9">
        <v>7</v>
      </c>
      <c r="D37" s="8">
        <v>0.1756069092999355</v>
      </c>
      <c r="G37" s="9">
        <v>7</v>
      </c>
      <c r="H37" s="8">
        <v>881.56834717357594</v>
      </c>
      <c r="K37" s="9">
        <v>7</v>
      </c>
      <c r="L37" s="8">
        <v>0.10385060229022793</v>
      </c>
    </row>
    <row r="38" spans="3:12" x14ac:dyDescent="0.35">
      <c r="C38" s="9">
        <v>8</v>
      </c>
      <c r="D38" s="8">
        <v>0.19220736618935358</v>
      </c>
      <c r="G38" s="9">
        <v>8</v>
      </c>
      <c r="H38" s="8">
        <v>964.90468855485358</v>
      </c>
      <c r="K38" s="9">
        <v>8</v>
      </c>
      <c r="L38" s="8">
        <v>6.5960112035085464E-2</v>
      </c>
    </row>
    <row r="39" spans="3:12" x14ac:dyDescent="0.35">
      <c r="C39" s="9">
        <v>9</v>
      </c>
      <c r="D39" s="8">
        <v>0.23303612915414262</v>
      </c>
      <c r="G39" s="9">
        <v>9</v>
      </c>
      <c r="H39" s="8">
        <v>1169.8701151858434</v>
      </c>
      <c r="K39" s="9">
        <v>9</v>
      </c>
      <c r="L39" s="8">
        <v>9.2126476313834818E-2</v>
      </c>
    </row>
    <row r="40" spans="3:12" x14ac:dyDescent="0.35">
      <c r="C40" s="9">
        <v>10</v>
      </c>
      <c r="D40" s="8">
        <v>0.17538908618478616</v>
      </c>
      <c r="G40" s="9">
        <v>10</v>
      </c>
      <c r="H40" s="8">
        <v>880.47484826533866</v>
      </c>
      <c r="K40" s="9">
        <v>10</v>
      </c>
      <c r="L40" s="8">
        <v>-6.9935282040493207E-2</v>
      </c>
    </row>
    <row r="41" spans="3:12" x14ac:dyDescent="0.35">
      <c r="C41" s="9">
        <v>11</v>
      </c>
      <c r="D41" s="8">
        <v>0.15904153020277226</v>
      </c>
      <c r="G41" s="9">
        <v>11</v>
      </c>
      <c r="H41" s="8">
        <v>798.40810063653794</v>
      </c>
      <c r="K41" s="9">
        <v>11</v>
      </c>
      <c r="L41" s="8">
        <v>8.9440715509833697E-3</v>
      </c>
    </row>
    <row r="42" spans="3:12" x14ac:dyDescent="0.35">
      <c r="C42" s="9">
        <v>12</v>
      </c>
      <c r="D42" s="8">
        <v>8.1263426731465652E-2</v>
      </c>
      <c r="G42" s="9">
        <v>12</v>
      </c>
      <c r="H42" s="8">
        <v>407.95242667223158</v>
      </c>
      <c r="K42" s="9">
        <v>12</v>
      </c>
      <c r="L42" s="8">
        <v>-7.7450989185116462E-2</v>
      </c>
    </row>
    <row r="43" spans="3:12" x14ac:dyDescent="0.35">
      <c r="C43" s="9">
        <v>13</v>
      </c>
      <c r="D43" s="8">
        <v>5.3998035485783163E-2</v>
      </c>
      <c r="G43" s="9">
        <v>13</v>
      </c>
      <c r="H43" s="8">
        <v>271.07679921930867</v>
      </c>
      <c r="K43" s="9">
        <v>13</v>
      </c>
      <c r="L43" s="8">
        <v>7.8838044121926944E-3</v>
      </c>
    </row>
    <row r="44" spans="3:12" x14ac:dyDescent="0.35">
      <c r="C44" s="9">
        <v>14</v>
      </c>
      <c r="D44" s="8">
        <v>-1.155993831587473E-2</v>
      </c>
      <c r="G44" s="9">
        <v>14</v>
      </c>
      <c r="H44" s="8">
        <v>-58.032316354638553</v>
      </c>
      <c r="K44" s="9">
        <v>14</v>
      </c>
      <c r="L44" s="8">
        <v>-7.9130523696247373E-2</v>
      </c>
    </row>
    <row r="45" spans="3:12" x14ac:dyDescent="0.35">
      <c r="C45" s="9">
        <v>15</v>
      </c>
      <c r="D45" s="8">
        <v>-0.10712102466301478</v>
      </c>
      <c r="G45" s="9">
        <v>15</v>
      </c>
      <c r="H45" s="8">
        <v>-537.76075802587161</v>
      </c>
      <c r="K45" s="9">
        <v>15</v>
      </c>
      <c r="L45" s="8">
        <v>-0.13505707005113585</v>
      </c>
    </row>
    <row r="46" spans="3:12" x14ac:dyDescent="0.35">
      <c r="C46" s="9">
        <v>16</v>
      </c>
      <c r="D46" s="8">
        <v>-0.12817414179877701</v>
      </c>
      <c r="G46" s="9">
        <v>16</v>
      </c>
      <c r="H46" s="8">
        <v>-643.45000311431875</v>
      </c>
      <c r="K46" s="9">
        <v>16</v>
      </c>
      <c r="L46" s="8">
        <v>-5.4825514216522438E-2</v>
      </c>
    </row>
    <row r="47" spans="3:12" x14ac:dyDescent="0.35">
      <c r="C47" s="9">
        <v>17</v>
      </c>
      <c r="D47" s="8">
        <v>-0.19115662131258582</v>
      </c>
      <c r="G47" s="9">
        <v>17</v>
      </c>
      <c r="H47" s="8">
        <v>-959.62981965586778</v>
      </c>
      <c r="K47" s="9">
        <v>17</v>
      </c>
      <c r="L47" s="8">
        <v>-0.10503001772284699</v>
      </c>
    </row>
    <row r="48" spans="3:12" x14ac:dyDescent="0.35">
      <c r="C48" s="9">
        <v>18</v>
      </c>
      <c r="D48" s="8">
        <v>-0.19253618524179755</v>
      </c>
      <c r="G48" s="9">
        <v>18</v>
      </c>
      <c r="H48" s="8">
        <v>-966.5554007605283</v>
      </c>
      <c r="K48" s="9">
        <v>18</v>
      </c>
      <c r="L48" s="8">
        <v>-5.1275359655737068E-2</v>
      </c>
    </row>
    <row r="49" spans="3:12" x14ac:dyDescent="0.35">
      <c r="C49" s="9">
        <v>19</v>
      </c>
      <c r="D49" s="8">
        <v>-0.25052384094051716</v>
      </c>
      <c r="G49" s="9">
        <v>19</v>
      </c>
      <c r="H49" s="8">
        <v>-1257.6605855996845</v>
      </c>
      <c r="K49" s="9">
        <v>19</v>
      </c>
      <c r="L49" s="8">
        <v>-0.12664001948816839</v>
      </c>
    </row>
    <row r="50" spans="3:12" x14ac:dyDescent="0.35">
      <c r="C50" s="9">
        <v>20</v>
      </c>
      <c r="D50" s="8">
        <v>-0.21537112964388755</v>
      </c>
      <c r="G50" s="9">
        <v>20</v>
      </c>
      <c r="H50" s="8">
        <v>-1081.1896385282923</v>
      </c>
      <c r="K50" s="9">
        <v>20</v>
      </c>
      <c r="L50" s="8">
        <v>8.6731408631458215E-3</v>
      </c>
    </row>
  </sheetData>
  <mergeCells count="23">
    <mergeCell ref="C23:E23"/>
    <mergeCell ref="C24:E24"/>
    <mergeCell ref="F23:I23"/>
    <mergeCell ref="F24:I24"/>
    <mergeCell ref="C12:K12"/>
    <mergeCell ref="C13:F13"/>
    <mergeCell ref="C14:F14"/>
    <mergeCell ref="C15:F15"/>
    <mergeCell ref="C16:F16"/>
    <mergeCell ref="G13:K13"/>
    <mergeCell ref="G14:K14"/>
    <mergeCell ref="G15:K15"/>
    <mergeCell ref="G16:K16"/>
    <mergeCell ref="L3:O3"/>
    <mergeCell ref="C18:F18"/>
    <mergeCell ref="C19:E19"/>
    <mergeCell ref="C20:E20"/>
    <mergeCell ref="C22:I22"/>
    <mergeCell ref="B4:C4"/>
    <mergeCell ref="D4:E4"/>
    <mergeCell ref="F4:G4"/>
    <mergeCell ref="H4:I4"/>
    <mergeCell ref="B3:I3"/>
  </mergeCells>
  <hyperlinks>
    <hyperlink ref="B4" location="'TS_Lags'!$B$10:$B$10" display="Inputs" xr:uid="{CA14C97C-1246-4260-B074-706D1D1D48BF}"/>
    <hyperlink ref="D4" location="'TS_Lags'!$B$27:$B$27" display="ACF: Training" xr:uid="{98BD9C59-91DE-46A4-AD7F-3DFF0CB17D47}"/>
    <hyperlink ref="F4" location="'TS_Lags'!$F$27:$F$27" display="ACVF: Training" xr:uid="{51FB75AC-DBD0-4D1B-B1C3-D38647578F33}"/>
    <hyperlink ref="H4" location="'TS_Lags'!$J$27:$J$27" display="PACF: Training" xr:uid="{1C0A1229-9CC1-4EB5-9496-B7ECA47CCC74}"/>
  </hyperlinks>
  <pageMargins left="0.7" right="0.7" top="0.75" bottom="0.75" header="0.3" footer="0.3"/>
  <pageSetup paperSize="9" orientation="portrait" horizontalDpi="300" verticalDpi="300" r:id="rId1"/>
  <tableParts count="3">
    <tablePart r:id="rId2"/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81C3C-943D-4B7A-AA7B-842D666ABBDE}">
  <dimension ref="A1:O8"/>
  <sheetViews>
    <sheetView workbookViewId="0">
      <selection activeCell="B6" sqref="B6:B8"/>
    </sheetView>
  </sheetViews>
  <sheetFormatPr defaultRowHeight="15.5" x14ac:dyDescent="0.35"/>
  <sheetData>
    <row r="1" spans="1:15" x14ac:dyDescent="0.35">
      <c r="A1" t="s">
        <v>0</v>
      </c>
      <c r="B1" t="s">
        <v>3</v>
      </c>
      <c r="C1" t="s">
        <v>202</v>
      </c>
      <c r="D1" t="s">
        <v>205</v>
      </c>
      <c r="E1" t="s">
        <v>206</v>
      </c>
      <c r="F1" t="s">
        <v>207</v>
      </c>
      <c r="G1" t="s">
        <v>208</v>
      </c>
      <c r="H1" t="s">
        <v>209</v>
      </c>
      <c r="I1" t="s">
        <v>210</v>
      </c>
      <c r="J1" t="s">
        <v>211</v>
      </c>
      <c r="K1" t="s">
        <v>212</v>
      </c>
      <c r="L1" t="s">
        <v>213</v>
      </c>
      <c r="M1" t="s">
        <v>214</v>
      </c>
      <c r="N1" t="s">
        <v>215</v>
      </c>
      <c r="O1" t="s">
        <v>216</v>
      </c>
    </row>
    <row r="2" spans="1:15" x14ac:dyDescent="0.35">
      <c r="A2" s="23">
        <v>38078</v>
      </c>
      <c r="B2">
        <v>160</v>
      </c>
      <c r="C2">
        <f>B2*B2</f>
        <v>25600</v>
      </c>
      <c r="D2">
        <v>0</v>
      </c>
      <c r="E2">
        <v>0</v>
      </c>
      <c r="F2">
        <v>0</v>
      </c>
      <c r="G2">
        <v>1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</row>
    <row r="3" spans="1:15" x14ac:dyDescent="0.35">
      <c r="A3" s="23">
        <v>38108</v>
      </c>
      <c r="B3">
        <v>161</v>
      </c>
      <c r="C3">
        <f t="shared" ref="C3:C4" si="0">B3*B3</f>
        <v>25921</v>
      </c>
      <c r="D3">
        <v>0</v>
      </c>
      <c r="E3">
        <v>0</v>
      </c>
      <c r="F3">
        <v>0</v>
      </c>
      <c r="G3">
        <v>0</v>
      </c>
      <c r="H3">
        <v>1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</row>
    <row r="4" spans="1:15" x14ac:dyDescent="0.35">
      <c r="A4" s="23">
        <v>38139</v>
      </c>
      <c r="B4">
        <v>162</v>
      </c>
      <c r="C4">
        <f t="shared" si="0"/>
        <v>26244</v>
      </c>
      <c r="D4">
        <v>0</v>
      </c>
      <c r="E4">
        <v>0</v>
      </c>
      <c r="F4">
        <v>0</v>
      </c>
      <c r="G4">
        <v>0</v>
      </c>
      <c r="H4">
        <v>0</v>
      </c>
      <c r="I4">
        <v>1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</row>
    <row r="6" spans="1:15" x14ac:dyDescent="0.35">
      <c r="B6">
        <v>2178.8124478020118</v>
      </c>
    </row>
    <row r="7" spans="1:15" x14ac:dyDescent="0.35">
      <c r="B7">
        <v>2226.7074804120266</v>
      </c>
    </row>
    <row r="8" spans="1:15" x14ac:dyDescent="0.35">
      <c r="B8">
        <v>2176.5828880220402</v>
      </c>
    </row>
  </sheetData>
  <conditionalFormatting sqref="D1:O1">
    <cfRule type="cellIs" dxfId="20" priority="1" operator="equal">
      <formula>1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42297-F70E-4A48-98B7-B56118A16701}">
  <dimension ref="A1:V161"/>
  <sheetViews>
    <sheetView workbookViewId="0">
      <selection sqref="A1:B1048576"/>
    </sheetView>
  </sheetViews>
  <sheetFormatPr defaultRowHeight="15.5" x14ac:dyDescent="0.35"/>
  <cols>
    <col min="1" max="1" width="9" style="1"/>
    <col min="2" max="2" width="14.5" style="1" customWidth="1"/>
    <col min="3" max="20" width="9" customWidth="1"/>
  </cols>
  <sheetData>
    <row r="1" spans="1:22" x14ac:dyDescent="0.35">
      <c r="G1" s="22">
        <v>1</v>
      </c>
      <c r="H1">
        <v>2</v>
      </c>
      <c r="I1">
        <v>3</v>
      </c>
      <c r="J1">
        <v>4</v>
      </c>
      <c r="K1">
        <v>5</v>
      </c>
      <c r="L1">
        <v>6</v>
      </c>
      <c r="M1">
        <v>7</v>
      </c>
      <c r="N1">
        <v>8</v>
      </c>
      <c r="O1">
        <v>9</v>
      </c>
      <c r="P1">
        <v>10</v>
      </c>
      <c r="Q1">
        <v>11</v>
      </c>
      <c r="R1">
        <v>12</v>
      </c>
    </row>
    <row r="2" spans="1:22" x14ac:dyDescent="0.35">
      <c r="A2" s="2" t="s">
        <v>0</v>
      </c>
      <c r="B2" s="2" t="s">
        <v>1</v>
      </c>
      <c r="C2" t="s">
        <v>3</v>
      </c>
      <c r="D2" t="s">
        <v>202</v>
      </c>
      <c r="E2" t="s">
        <v>203</v>
      </c>
      <c r="F2" t="s">
        <v>217</v>
      </c>
      <c r="G2" t="s">
        <v>205</v>
      </c>
      <c r="H2" t="s">
        <v>206</v>
      </c>
      <c r="I2" t="s">
        <v>207</v>
      </c>
      <c r="J2" t="s">
        <v>208</v>
      </c>
      <c r="K2" t="s">
        <v>209</v>
      </c>
      <c r="L2" t="s">
        <v>210</v>
      </c>
      <c r="M2" t="s">
        <v>211</v>
      </c>
      <c r="N2" t="s">
        <v>212</v>
      </c>
      <c r="O2" t="s">
        <v>213</v>
      </c>
      <c r="P2" t="s">
        <v>214</v>
      </c>
      <c r="Q2" t="s">
        <v>215</v>
      </c>
      <c r="R2" t="s">
        <v>216</v>
      </c>
      <c r="S2" t="s">
        <v>204</v>
      </c>
      <c r="T2" t="s">
        <v>220</v>
      </c>
      <c r="U2" t="s">
        <v>204</v>
      </c>
      <c r="V2" t="s">
        <v>220</v>
      </c>
    </row>
    <row r="3" spans="1:22" x14ac:dyDescent="0.35">
      <c r="A3" s="3">
        <v>33239</v>
      </c>
      <c r="B3" s="4">
        <v>1723.9169999999999</v>
      </c>
      <c r="C3">
        <v>1</v>
      </c>
      <c r="D3">
        <f>C3*C3</f>
        <v>1</v>
      </c>
      <c r="E3">
        <f>LN(B3)</f>
        <v>7.4523543062131781</v>
      </c>
      <c r="F3" s="21">
        <f>MONTH(A3)</f>
        <v>1</v>
      </c>
      <c r="G3">
        <f>IF($F3=G$1,1,0)</f>
        <v>1</v>
      </c>
      <c r="H3">
        <f t="shared" ref="H3:R18" si="0">IF($F3=H$1,1,0)</f>
        <v>0</v>
      </c>
      <c r="I3">
        <f t="shared" si="0"/>
        <v>0</v>
      </c>
      <c r="J3">
        <f t="shared" si="0"/>
        <v>0</v>
      </c>
      <c r="K3">
        <f t="shared" si="0"/>
        <v>0</v>
      </c>
      <c r="L3">
        <f t="shared" si="0"/>
        <v>0</v>
      </c>
      <c r="M3">
        <f t="shared" si="0"/>
        <v>0</v>
      </c>
      <c r="N3">
        <f t="shared" si="0"/>
        <v>0</v>
      </c>
      <c r="O3">
        <f t="shared" si="0"/>
        <v>0</v>
      </c>
      <c r="P3">
        <f t="shared" si="0"/>
        <v>0</v>
      </c>
      <c r="Q3">
        <f t="shared" si="0"/>
        <v>0</v>
      </c>
      <c r="R3">
        <f t="shared" si="0"/>
        <v>0</v>
      </c>
      <c r="S3" t="e">
        <f>#REF!</f>
        <v>#REF!</v>
      </c>
      <c r="T3" t="e">
        <f>#REF!</f>
        <v>#REF!</v>
      </c>
      <c r="U3" t="e">
        <f>#REF!</f>
        <v>#REF!</v>
      </c>
      <c r="V3" t="e">
        <f>#REF!</f>
        <v>#REF!</v>
      </c>
    </row>
    <row r="4" spans="1:22" x14ac:dyDescent="0.35">
      <c r="A4" s="3">
        <v>33270</v>
      </c>
      <c r="B4" s="4">
        <v>1637.586</v>
      </c>
      <c r="C4">
        <v>2</v>
      </c>
      <c r="D4">
        <f t="shared" ref="D4:D67" si="1">C4*C4</f>
        <v>4</v>
      </c>
      <c r="E4">
        <f t="shared" ref="E4:E67" si="2">LN(B4)</f>
        <v>7.4009784852142975</v>
      </c>
      <c r="F4" s="21">
        <f t="shared" ref="F4:F67" si="3">MONTH(A4)</f>
        <v>2</v>
      </c>
      <c r="G4">
        <f t="shared" ref="G4:R35" si="4">IF($F4=G$1,1,0)</f>
        <v>0</v>
      </c>
      <c r="H4">
        <f t="shared" si="0"/>
        <v>1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  <c r="O4">
        <f t="shared" si="0"/>
        <v>0</v>
      </c>
      <c r="P4">
        <f t="shared" si="0"/>
        <v>0</v>
      </c>
      <c r="Q4">
        <f t="shared" si="0"/>
        <v>0</v>
      </c>
      <c r="R4">
        <f t="shared" si="0"/>
        <v>0</v>
      </c>
      <c r="S4" t="e">
        <f>#REF!</f>
        <v>#REF!</v>
      </c>
      <c r="T4" t="e">
        <f>#REF!</f>
        <v>#REF!</v>
      </c>
      <c r="U4" t="e">
        <f>#REF!</f>
        <v>#REF!</v>
      </c>
      <c r="V4" t="e">
        <f>#REF!</f>
        <v>#REF!</v>
      </c>
    </row>
    <row r="5" spans="1:22" x14ac:dyDescent="0.35">
      <c r="A5" s="3">
        <v>33298</v>
      </c>
      <c r="B5" s="4">
        <v>1986.7149999999999</v>
      </c>
      <c r="C5">
        <v>3</v>
      </c>
      <c r="D5">
        <f t="shared" si="1"/>
        <v>9</v>
      </c>
      <c r="E5">
        <f t="shared" si="2"/>
        <v>7.5942377999544046</v>
      </c>
      <c r="F5" s="21">
        <f t="shared" si="3"/>
        <v>3</v>
      </c>
      <c r="G5">
        <f t="shared" si="4"/>
        <v>0</v>
      </c>
      <c r="H5">
        <f t="shared" si="0"/>
        <v>0</v>
      </c>
      <c r="I5">
        <f t="shared" si="0"/>
        <v>1</v>
      </c>
      <c r="J5">
        <f t="shared" si="0"/>
        <v>0</v>
      </c>
      <c r="K5">
        <f t="shared" si="0"/>
        <v>0</v>
      </c>
      <c r="L5">
        <f t="shared" si="0"/>
        <v>0</v>
      </c>
      <c r="M5">
        <f t="shared" si="0"/>
        <v>0</v>
      </c>
      <c r="N5">
        <f t="shared" si="0"/>
        <v>0</v>
      </c>
      <c r="O5">
        <f t="shared" si="0"/>
        <v>0</v>
      </c>
      <c r="P5">
        <f t="shared" si="0"/>
        <v>0</v>
      </c>
      <c r="Q5">
        <f t="shared" si="0"/>
        <v>0</v>
      </c>
      <c r="R5">
        <f t="shared" si="0"/>
        <v>0</v>
      </c>
      <c r="S5" t="e">
        <f>#REF!</f>
        <v>#REF!</v>
      </c>
      <c r="T5" t="e">
        <f>#REF!</f>
        <v>#REF!</v>
      </c>
      <c r="U5" t="e">
        <f>#REF!</f>
        <v>#REF!</v>
      </c>
      <c r="V5" t="e">
        <f>#REF!</f>
        <v>#REF!</v>
      </c>
    </row>
    <row r="6" spans="1:22" x14ac:dyDescent="0.35">
      <c r="A6" s="3">
        <v>33329</v>
      </c>
      <c r="B6" s="4">
        <v>1824.665</v>
      </c>
      <c r="C6">
        <v>4</v>
      </c>
      <c r="D6">
        <f t="shared" si="1"/>
        <v>16</v>
      </c>
      <c r="E6">
        <f t="shared" si="2"/>
        <v>7.5091516875232553</v>
      </c>
      <c r="F6" s="21">
        <f t="shared" si="3"/>
        <v>4</v>
      </c>
      <c r="G6">
        <f t="shared" si="4"/>
        <v>0</v>
      </c>
      <c r="H6">
        <f t="shared" si="0"/>
        <v>0</v>
      </c>
      <c r="I6">
        <f t="shared" si="0"/>
        <v>0</v>
      </c>
      <c r="J6">
        <f t="shared" si="0"/>
        <v>1</v>
      </c>
      <c r="K6">
        <f t="shared" si="0"/>
        <v>0</v>
      </c>
      <c r="L6">
        <f t="shared" si="0"/>
        <v>0</v>
      </c>
      <c r="M6">
        <f t="shared" si="0"/>
        <v>0</v>
      </c>
      <c r="N6">
        <f t="shared" si="0"/>
        <v>0</v>
      </c>
      <c r="O6">
        <f t="shared" si="0"/>
        <v>0</v>
      </c>
      <c r="P6">
        <f t="shared" si="0"/>
        <v>0</v>
      </c>
      <c r="Q6">
        <f t="shared" si="0"/>
        <v>0</v>
      </c>
      <c r="R6">
        <f t="shared" si="0"/>
        <v>0</v>
      </c>
      <c r="S6" t="e">
        <f>#REF!</f>
        <v>#REF!</v>
      </c>
      <c r="T6" t="e">
        <f>#REF!</f>
        <v>#REF!</v>
      </c>
      <c r="U6" t="e">
        <f>#REF!</f>
        <v>#REF!</v>
      </c>
      <c r="V6" t="e">
        <f>#REF!</f>
        <v>#REF!</v>
      </c>
    </row>
    <row r="7" spans="1:22" x14ac:dyDescent="0.35">
      <c r="A7" s="3">
        <v>33359</v>
      </c>
      <c r="B7" s="4">
        <v>1991.9639999999999</v>
      </c>
      <c r="C7">
        <v>5</v>
      </c>
      <c r="D7">
        <f t="shared" si="1"/>
        <v>25</v>
      </c>
      <c r="E7">
        <f t="shared" si="2"/>
        <v>7.596876365692081</v>
      </c>
      <c r="F7" s="21">
        <f t="shared" si="3"/>
        <v>5</v>
      </c>
      <c r="G7">
        <f t="shared" si="4"/>
        <v>0</v>
      </c>
      <c r="H7">
        <f t="shared" si="0"/>
        <v>0</v>
      </c>
      <c r="I7">
        <f t="shared" si="0"/>
        <v>0</v>
      </c>
      <c r="J7">
        <f t="shared" si="0"/>
        <v>0</v>
      </c>
      <c r="K7">
        <f t="shared" si="0"/>
        <v>1</v>
      </c>
      <c r="L7">
        <f t="shared" si="0"/>
        <v>0</v>
      </c>
      <c r="M7">
        <f t="shared" si="0"/>
        <v>0</v>
      </c>
      <c r="N7">
        <f t="shared" si="0"/>
        <v>0</v>
      </c>
      <c r="O7">
        <f t="shared" si="0"/>
        <v>0</v>
      </c>
      <c r="P7">
        <f t="shared" si="0"/>
        <v>0</v>
      </c>
      <c r="Q7">
        <f t="shared" si="0"/>
        <v>0</v>
      </c>
      <c r="R7">
        <f t="shared" si="0"/>
        <v>0</v>
      </c>
      <c r="S7" t="e">
        <f>#REF!</f>
        <v>#REF!</v>
      </c>
      <c r="T7" t="e">
        <f>#REF!</f>
        <v>#REF!</v>
      </c>
      <c r="U7" t="e">
        <f>#REF!</f>
        <v>#REF!</v>
      </c>
      <c r="V7" t="e">
        <f>#REF!</f>
        <v>#REF!</v>
      </c>
    </row>
    <row r="8" spans="1:22" x14ac:dyDescent="0.35">
      <c r="A8" s="3">
        <v>33390</v>
      </c>
      <c r="B8" s="4">
        <v>1879.356</v>
      </c>
      <c r="C8">
        <v>6</v>
      </c>
      <c r="D8">
        <f t="shared" si="1"/>
        <v>36</v>
      </c>
      <c r="E8">
        <f t="shared" si="2"/>
        <v>7.5386844439477585</v>
      </c>
      <c r="F8" s="21">
        <f t="shared" si="3"/>
        <v>6</v>
      </c>
      <c r="G8">
        <f t="shared" si="4"/>
        <v>0</v>
      </c>
      <c r="H8">
        <f t="shared" si="0"/>
        <v>0</v>
      </c>
      <c r="I8">
        <f t="shared" si="0"/>
        <v>0</v>
      </c>
      <c r="J8">
        <f t="shared" si="0"/>
        <v>0</v>
      </c>
      <c r="K8">
        <f t="shared" si="0"/>
        <v>0</v>
      </c>
      <c r="L8">
        <f t="shared" si="0"/>
        <v>1</v>
      </c>
      <c r="M8">
        <f t="shared" si="0"/>
        <v>0</v>
      </c>
      <c r="N8">
        <f t="shared" si="0"/>
        <v>0</v>
      </c>
      <c r="O8">
        <f t="shared" si="0"/>
        <v>0</v>
      </c>
      <c r="P8">
        <f t="shared" si="0"/>
        <v>0</v>
      </c>
      <c r="Q8">
        <f t="shared" si="0"/>
        <v>0</v>
      </c>
      <c r="R8">
        <f t="shared" si="0"/>
        <v>0</v>
      </c>
      <c r="S8" t="e">
        <f>#REF!</f>
        <v>#REF!</v>
      </c>
      <c r="T8" t="e">
        <f>#REF!</f>
        <v>#REF!</v>
      </c>
      <c r="U8" t="e">
        <f>#REF!</f>
        <v>#REF!</v>
      </c>
      <c r="V8" t="e">
        <f>#REF!</f>
        <v>#REF!</v>
      </c>
    </row>
    <row r="9" spans="1:22" x14ac:dyDescent="0.35">
      <c r="A9" s="3">
        <v>33420</v>
      </c>
      <c r="B9" s="4">
        <v>1956.86</v>
      </c>
      <c r="C9">
        <v>7</v>
      </c>
      <c r="D9">
        <f t="shared" si="1"/>
        <v>49</v>
      </c>
      <c r="E9">
        <f t="shared" si="2"/>
        <v>7.5790964267686345</v>
      </c>
      <c r="F9" s="21">
        <f t="shared" si="3"/>
        <v>7</v>
      </c>
      <c r="G9">
        <f t="shared" si="4"/>
        <v>0</v>
      </c>
      <c r="H9">
        <f t="shared" si="0"/>
        <v>0</v>
      </c>
      <c r="I9">
        <f t="shared" si="0"/>
        <v>0</v>
      </c>
      <c r="J9">
        <f t="shared" si="0"/>
        <v>0</v>
      </c>
      <c r="K9">
        <f t="shared" si="0"/>
        <v>0</v>
      </c>
      <c r="L9">
        <f t="shared" si="0"/>
        <v>0</v>
      </c>
      <c r="M9">
        <f t="shared" si="0"/>
        <v>1</v>
      </c>
      <c r="N9">
        <f t="shared" si="0"/>
        <v>0</v>
      </c>
      <c r="O9">
        <f t="shared" si="0"/>
        <v>0</v>
      </c>
      <c r="P9">
        <f t="shared" si="0"/>
        <v>0</v>
      </c>
      <c r="Q9">
        <f t="shared" si="0"/>
        <v>0</v>
      </c>
      <c r="R9">
        <f t="shared" si="0"/>
        <v>0</v>
      </c>
      <c r="S9" t="e">
        <f>#REF!</f>
        <v>#REF!</v>
      </c>
      <c r="T9" t="e">
        <f>#REF!</f>
        <v>#REF!</v>
      </c>
      <c r="U9" t="e">
        <f>#REF!</f>
        <v>#REF!</v>
      </c>
      <c r="V9" t="e">
        <f>#REF!</f>
        <v>#REF!</v>
      </c>
    </row>
    <row r="10" spans="1:22" x14ac:dyDescent="0.35">
      <c r="A10" s="3">
        <v>33451</v>
      </c>
      <c r="B10" s="4">
        <v>2027.2639999999999</v>
      </c>
      <c r="C10">
        <v>8</v>
      </c>
      <c r="D10">
        <f t="shared" si="1"/>
        <v>64</v>
      </c>
      <c r="E10">
        <f t="shared" si="2"/>
        <v>7.614442379707838</v>
      </c>
      <c r="F10" s="21">
        <f t="shared" si="3"/>
        <v>8</v>
      </c>
      <c r="G10">
        <f t="shared" si="4"/>
        <v>0</v>
      </c>
      <c r="H10">
        <f t="shared" si="0"/>
        <v>0</v>
      </c>
      <c r="I10">
        <f t="shared" si="0"/>
        <v>0</v>
      </c>
      <c r="J10">
        <f t="shared" si="0"/>
        <v>0</v>
      </c>
      <c r="K10">
        <f t="shared" si="0"/>
        <v>0</v>
      </c>
      <c r="L10">
        <f t="shared" si="0"/>
        <v>0</v>
      </c>
      <c r="M10">
        <f t="shared" si="0"/>
        <v>0</v>
      </c>
      <c r="N10">
        <f t="shared" si="0"/>
        <v>1</v>
      </c>
      <c r="O10">
        <f t="shared" si="0"/>
        <v>0</v>
      </c>
      <c r="P10">
        <f t="shared" si="0"/>
        <v>0</v>
      </c>
      <c r="Q10">
        <f t="shared" si="0"/>
        <v>0</v>
      </c>
      <c r="R10">
        <f t="shared" si="0"/>
        <v>0</v>
      </c>
      <c r="S10" t="e">
        <f>#REF!</f>
        <v>#REF!</v>
      </c>
      <c r="T10" t="e">
        <f>#REF!</f>
        <v>#REF!</v>
      </c>
      <c r="U10" t="e">
        <f>#REF!</f>
        <v>#REF!</v>
      </c>
      <c r="V10" t="e">
        <f>#REF!</f>
        <v>#REF!</v>
      </c>
    </row>
    <row r="11" spans="1:22" x14ac:dyDescent="0.35">
      <c r="A11" s="3">
        <v>33482</v>
      </c>
      <c r="B11" s="4">
        <v>1608.6569999999999</v>
      </c>
      <c r="C11">
        <v>9</v>
      </c>
      <c r="D11">
        <f t="shared" si="1"/>
        <v>81</v>
      </c>
      <c r="E11">
        <f t="shared" si="2"/>
        <v>7.3831549483815309</v>
      </c>
      <c r="F11" s="21">
        <f t="shared" si="3"/>
        <v>9</v>
      </c>
      <c r="G11">
        <f t="shared" si="4"/>
        <v>0</v>
      </c>
      <c r="H11">
        <f t="shared" si="0"/>
        <v>0</v>
      </c>
      <c r="I11">
        <f t="shared" si="0"/>
        <v>0</v>
      </c>
      <c r="J11">
        <f t="shared" si="0"/>
        <v>0</v>
      </c>
      <c r="K11">
        <f t="shared" si="0"/>
        <v>0</v>
      </c>
      <c r="L11">
        <f t="shared" si="0"/>
        <v>0</v>
      </c>
      <c r="M11">
        <f t="shared" si="0"/>
        <v>0</v>
      </c>
      <c r="N11">
        <f t="shared" si="0"/>
        <v>0</v>
      </c>
      <c r="O11">
        <f t="shared" si="0"/>
        <v>1</v>
      </c>
      <c r="P11">
        <f t="shared" si="0"/>
        <v>0</v>
      </c>
      <c r="Q11">
        <f t="shared" si="0"/>
        <v>0</v>
      </c>
      <c r="R11">
        <f t="shared" si="0"/>
        <v>0</v>
      </c>
      <c r="S11" t="e">
        <f>#REF!</f>
        <v>#REF!</v>
      </c>
      <c r="T11" t="e">
        <f>#REF!</f>
        <v>#REF!</v>
      </c>
      <c r="U11" t="e">
        <f>#REF!</f>
        <v>#REF!</v>
      </c>
      <c r="V11" t="e">
        <f>#REF!</f>
        <v>#REF!</v>
      </c>
    </row>
    <row r="12" spans="1:22" x14ac:dyDescent="0.35">
      <c r="A12" s="3">
        <v>33512</v>
      </c>
      <c r="B12" s="4">
        <v>1739.924</v>
      </c>
      <c r="C12">
        <v>10</v>
      </c>
      <c r="D12">
        <f t="shared" si="1"/>
        <v>100</v>
      </c>
      <c r="E12">
        <f t="shared" si="2"/>
        <v>7.4615967130937362</v>
      </c>
      <c r="F12" s="21">
        <f t="shared" si="3"/>
        <v>10</v>
      </c>
      <c r="G12">
        <f t="shared" si="4"/>
        <v>0</v>
      </c>
      <c r="H12">
        <f t="shared" si="0"/>
        <v>0</v>
      </c>
      <c r="I12">
        <f t="shared" si="0"/>
        <v>0</v>
      </c>
      <c r="J12">
        <f t="shared" si="0"/>
        <v>0</v>
      </c>
      <c r="K12">
        <f t="shared" si="0"/>
        <v>0</v>
      </c>
      <c r="L12">
        <f t="shared" si="0"/>
        <v>0</v>
      </c>
      <c r="M12">
        <f t="shared" si="0"/>
        <v>0</v>
      </c>
      <c r="N12">
        <f t="shared" si="0"/>
        <v>0</v>
      </c>
      <c r="O12">
        <f t="shared" si="0"/>
        <v>0</v>
      </c>
      <c r="P12">
        <f t="shared" si="0"/>
        <v>1</v>
      </c>
      <c r="Q12">
        <f t="shared" si="0"/>
        <v>0</v>
      </c>
      <c r="R12">
        <f t="shared" si="0"/>
        <v>0</v>
      </c>
      <c r="S12" t="e">
        <f>#REF!</f>
        <v>#REF!</v>
      </c>
      <c r="T12" t="e">
        <f>#REF!</f>
        <v>#REF!</v>
      </c>
      <c r="U12" t="e">
        <f>#REF!</f>
        <v>#REF!</v>
      </c>
      <c r="V12" t="e">
        <f>#REF!</f>
        <v>#REF!</v>
      </c>
    </row>
    <row r="13" spans="1:22" x14ac:dyDescent="0.35">
      <c r="A13" s="3">
        <v>33543</v>
      </c>
      <c r="B13" s="4">
        <v>1688.6669999999999</v>
      </c>
      <c r="C13">
        <v>11</v>
      </c>
      <c r="D13">
        <f t="shared" si="1"/>
        <v>121</v>
      </c>
      <c r="E13">
        <f t="shared" si="2"/>
        <v>7.4316947392878854</v>
      </c>
      <c r="F13" s="21">
        <f t="shared" si="3"/>
        <v>11</v>
      </c>
      <c r="G13">
        <f t="shared" si="4"/>
        <v>0</v>
      </c>
      <c r="H13">
        <f t="shared" si="0"/>
        <v>0</v>
      </c>
      <c r="I13">
        <f t="shared" si="0"/>
        <v>0</v>
      </c>
      <c r="J13">
        <f t="shared" si="0"/>
        <v>0</v>
      </c>
      <c r="K13">
        <f t="shared" si="0"/>
        <v>0</v>
      </c>
      <c r="L13">
        <f t="shared" si="0"/>
        <v>0</v>
      </c>
      <c r="M13">
        <f t="shared" si="0"/>
        <v>0</v>
      </c>
      <c r="N13">
        <f t="shared" si="0"/>
        <v>0</v>
      </c>
      <c r="O13">
        <f t="shared" si="0"/>
        <v>0</v>
      </c>
      <c r="P13">
        <f t="shared" si="0"/>
        <v>0</v>
      </c>
      <c r="Q13">
        <f t="shared" si="0"/>
        <v>1</v>
      </c>
      <c r="R13">
        <f t="shared" si="0"/>
        <v>0</v>
      </c>
      <c r="S13" t="e">
        <f>#REF!</f>
        <v>#REF!</v>
      </c>
      <c r="T13" t="e">
        <f>#REF!</f>
        <v>#REF!</v>
      </c>
      <c r="U13" t="e">
        <f>#REF!</f>
        <v>#REF!</v>
      </c>
      <c r="V13" t="e">
        <f>#REF!</f>
        <v>#REF!</v>
      </c>
    </row>
    <row r="14" spans="1:22" x14ac:dyDescent="0.35">
      <c r="A14" s="3">
        <v>33573</v>
      </c>
      <c r="B14" s="4">
        <v>1830.8630000000001</v>
      </c>
      <c r="C14">
        <v>12</v>
      </c>
      <c r="D14">
        <f t="shared" si="1"/>
        <v>144</v>
      </c>
      <c r="E14">
        <f t="shared" si="2"/>
        <v>7.5125427193738021</v>
      </c>
      <c r="F14" s="21">
        <f t="shared" si="3"/>
        <v>12</v>
      </c>
      <c r="G14">
        <f t="shared" si="4"/>
        <v>0</v>
      </c>
      <c r="H14">
        <f t="shared" si="0"/>
        <v>0</v>
      </c>
      <c r="I14">
        <f t="shared" si="0"/>
        <v>0</v>
      </c>
      <c r="J14">
        <f t="shared" si="0"/>
        <v>0</v>
      </c>
      <c r="K14">
        <f t="shared" si="0"/>
        <v>0</v>
      </c>
      <c r="L14">
        <f t="shared" si="0"/>
        <v>0</v>
      </c>
      <c r="M14">
        <f t="shared" si="0"/>
        <v>0</v>
      </c>
      <c r="N14">
        <f t="shared" si="0"/>
        <v>0</v>
      </c>
      <c r="O14">
        <f t="shared" si="0"/>
        <v>0</v>
      </c>
      <c r="P14">
        <f t="shared" si="0"/>
        <v>0</v>
      </c>
      <c r="Q14">
        <f t="shared" si="0"/>
        <v>0</v>
      </c>
      <c r="R14">
        <f t="shared" si="0"/>
        <v>1</v>
      </c>
      <c r="S14" t="e">
        <f>#REF!</f>
        <v>#REF!</v>
      </c>
      <c r="T14" t="e">
        <f>#REF!</f>
        <v>#REF!</v>
      </c>
      <c r="U14" t="e">
        <f>#REF!</f>
        <v>#REF!</v>
      </c>
      <c r="V14" t="e">
        <f>#REF!</f>
        <v>#REF!</v>
      </c>
    </row>
    <row r="15" spans="1:22" x14ac:dyDescent="0.35">
      <c r="A15" s="3">
        <v>33604</v>
      </c>
      <c r="B15" s="4">
        <v>1628.827</v>
      </c>
      <c r="C15">
        <v>13</v>
      </c>
      <c r="D15">
        <f t="shared" si="1"/>
        <v>169</v>
      </c>
      <c r="E15">
        <f t="shared" si="2"/>
        <v>7.3956154028396384</v>
      </c>
      <c r="F15" s="21">
        <f t="shared" si="3"/>
        <v>1</v>
      </c>
      <c r="G15">
        <f t="shared" si="4"/>
        <v>1</v>
      </c>
      <c r="H15">
        <f t="shared" si="0"/>
        <v>0</v>
      </c>
      <c r="I15">
        <f t="shared" si="0"/>
        <v>0</v>
      </c>
      <c r="J15">
        <f t="shared" si="0"/>
        <v>0</v>
      </c>
      <c r="K15">
        <f t="shared" si="0"/>
        <v>0</v>
      </c>
      <c r="L15">
        <f t="shared" si="0"/>
        <v>0</v>
      </c>
      <c r="M15">
        <f t="shared" si="0"/>
        <v>0</v>
      </c>
      <c r="N15">
        <f t="shared" si="0"/>
        <v>0</v>
      </c>
      <c r="O15">
        <f t="shared" si="0"/>
        <v>0</v>
      </c>
      <c r="P15">
        <f t="shared" si="0"/>
        <v>0</v>
      </c>
      <c r="Q15">
        <f t="shared" si="0"/>
        <v>0</v>
      </c>
      <c r="R15">
        <f t="shared" si="0"/>
        <v>0</v>
      </c>
      <c r="S15" t="e">
        <f>#REF!</f>
        <v>#REF!</v>
      </c>
      <c r="T15" t="e">
        <f>#REF!</f>
        <v>#REF!</v>
      </c>
      <c r="U15" t="e">
        <f>#REF!</f>
        <v>#REF!</v>
      </c>
      <c r="V15" t="e">
        <f>#REF!</f>
        <v>#REF!</v>
      </c>
    </row>
    <row r="16" spans="1:22" x14ac:dyDescent="0.35">
      <c r="A16" s="3">
        <v>33635</v>
      </c>
      <c r="B16" s="4">
        <v>1574.088</v>
      </c>
      <c r="C16">
        <v>14</v>
      </c>
      <c r="D16">
        <f t="shared" si="1"/>
        <v>196</v>
      </c>
      <c r="E16">
        <f t="shared" si="2"/>
        <v>7.3614313359278674</v>
      </c>
      <c r="F16" s="21">
        <f t="shared" si="3"/>
        <v>2</v>
      </c>
      <c r="G16">
        <f t="shared" si="4"/>
        <v>0</v>
      </c>
      <c r="H16">
        <f t="shared" si="0"/>
        <v>1</v>
      </c>
      <c r="I16">
        <f t="shared" si="0"/>
        <v>0</v>
      </c>
      <c r="J16">
        <f t="shared" si="0"/>
        <v>0</v>
      </c>
      <c r="K16">
        <f t="shared" si="0"/>
        <v>0</v>
      </c>
      <c r="L16">
        <f t="shared" si="0"/>
        <v>0</v>
      </c>
      <c r="M16">
        <f t="shared" si="0"/>
        <v>0</v>
      </c>
      <c r="N16">
        <f t="shared" si="0"/>
        <v>0</v>
      </c>
      <c r="O16">
        <f t="shared" si="0"/>
        <v>0</v>
      </c>
      <c r="P16">
        <f t="shared" si="0"/>
        <v>0</v>
      </c>
      <c r="Q16">
        <f t="shared" si="0"/>
        <v>0</v>
      </c>
      <c r="R16">
        <f t="shared" si="0"/>
        <v>0</v>
      </c>
      <c r="S16" t="e">
        <f>#REF!</f>
        <v>#REF!</v>
      </c>
      <c r="T16" t="e">
        <f>#REF!</f>
        <v>#REF!</v>
      </c>
      <c r="U16" t="e">
        <f>#REF!</f>
        <v>#REF!</v>
      </c>
      <c r="V16" t="e">
        <f>#REF!</f>
        <v>#REF!</v>
      </c>
    </row>
    <row r="17" spans="1:22" x14ac:dyDescent="0.35">
      <c r="A17" s="3">
        <v>33664</v>
      </c>
      <c r="B17" s="4">
        <v>1908.223</v>
      </c>
      <c r="C17">
        <v>15</v>
      </c>
      <c r="D17">
        <f t="shared" si="1"/>
        <v>225</v>
      </c>
      <c r="E17">
        <f t="shared" si="2"/>
        <v>7.5539277214890008</v>
      </c>
      <c r="F17" s="21">
        <f t="shared" si="3"/>
        <v>3</v>
      </c>
      <c r="G17">
        <f t="shared" si="4"/>
        <v>0</v>
      </c>
      <c r="H17">
        <f t="shared" si="0"/>
        <v>0</v>
      </c>
      <c r="I17">
        <f t="shared" si="0"/>
        <v>1</v>
      </c>
      <c r="J17">
        <f t="shared" si="0"/>
        <v>0</v>
      </c>
      <c r="K17">
        <f t="shared" si="0"/>
        <v>0</v>
      </c>
      <c r="L17">
        <f t="shared" si="0"/>
        <v>0</v>
      </c>
      <c r="M17">
        <f t="shared" si="0"/>
        <v>0</v>
      </c>
      <c r="N17">
        <f t="shared" si="0"/>
        <v>0</v>
      </c>
      <c r="O17">
        <f t="shared" si="0"/>
        <v>0</v>
      </c>
      <c r="P17">
        <f t="shared" si="0"/>
        <v>0</v>
      </c>
      <c r="Q17">
        <f t="shared" si="0"/>
        <v>0</v>
      </c>
      <c r="R17">
        <f t="shared" si="0"/>
        <v>0</v>
      </c>
      <c r="S17" t="e">
        <f>#REF!</f>
        <v>#REF!</v>
      </c>
      <c r="T17" t="e">
        <f>#REF!</f>
        <v>#REF!</v>
      </c>
      <c r="U17" t="e">
        <f>#REF!</f>
        <v>#REF!</v>
      </c>
      <c r="V17" t="e">
        <f>#REF!</f>
        <v>#REF!</v>
      </c>
    </row>
    <row r="18" spans="1:22" x14ac:dyDescent="0.35">
      <c r="A18" s="3">
        <v>33695</v>
      </c>
      <c r="B18" s="4">
        <v>1972.981</v>
      </c>
      <c r="C18">
        <v>16</v>
      </c>
      <c r="D18">
        <f t="shared" si="1"/>
        <v>256</v>
      </c>
      <c r="E18">
        <f t="shared" si="2"/>
        <v>7.5873008759711782</v>
      </c>
      <c r="F18" s="21">
        <f t="shared" si="3"/>
        <v>4</v>
      </c>
      <c r="G18">
        <f t="shared" si="4"/>
        <v>0</v>
      </c>
      <c r="H18">
        <f t="shared" si="0"/>
        <v>0</v>
      </c>
      <c r="I18">
        <f t="shared" si="0"/>
        <v>0</v>
      </c>
      <c r="J18">
        <f t="shared" si="0"/>
        <v>1</v>
      </c>
      <c r="K18">
        <f t="shared" si="0"/>
        <v>0</v>
      </c>
      <c r="L18">
        <f t="shared" si="0"/>
        <v>0</v>
      </c>
      <c r="M18">
        <f t="shared" si="0"/>
        <v>0</v>
      </c>
      <c r="N18">
        <f t="shared" si="0"/>
        <v>0</v>
      </c>
      <c r="O18">
        <f t="shared" si="0"/>
        <v>0</v>
      </c>
      <c r="P18">
        <f t="shared" si="0"/>
        <v>0</v>
      </c>
      <c r="Q18">
        <f t="shared" si="0"/>
        <v>0</v>
      </c>
      <c r="R18">
        <f t="shared" si="0"/>
        <v>0</v>
      </c>
      <c r="S18" t="e">
        <f>#REF!</f>
        <v>#REF!</v>
      </c>
      <c r="T18" t="e">
        <f>#REF!</f>
        <v>#REF!</v>
      </c>
      <c r="U18" t="e">
        <f>#REF!</f>
        <v>#REF!</v>
      </c>
      <c r="V18" t="e">
        <f>#REF!</f>
        <v>#REF!</v>
      </c>
    </row>
    <row r="19" spans="1:22" x14ac:dyDescent="0.35">
      <c r="A19" s="3">
        <v>33725</v>
      </c>
      <c r="B19" s="4">
        <v>1898.7139999999999</v>
      </c>
      <c r="C19">
        <v>17</v>
      </c>
      <c r="D19">
        <f t="shared" si="1"/>
        <v>289</v>
      </c>
      <c r="E19">
        <f t="shared" si="2"/>
        <v>7.5489320938882409</v>
      </c>
      <c r="F19" s="21">
        <f t="shared" si="3"/>
        <v>5</v>
      </c>
      <c r="G19">
        <f t="shared" si="4"/>
        <v>0</v>
      </c>
      <c r="H19">
        <f t="shared" si="4"/>
        <v>0</v>
      </c>
      <c r="I19">
        <f t="shared" si="4"/>
        <v>0</v>
      </c>
      <c r="J19">
        <f t="shared" si="4"/>
        <v>0</v>
      </c>
      <c r="K19">
        <f t="shared" si="4"/>
        <v>1</v>
      </c>
      <c r="L19">
        <f t="shared" si="4"/>
        <v>0</v>
      </c>
      <c r="M19">
        <f t="shared" si="4"/>
        <v>0</v>
      </c>
      <c r="N19">
        <f t="shared" si="4"/>
        <v>0</v>
      </c>
      <c r="O19">
        <f t="shared" si="4"/>
        <v>0</v>
      </c>
      <c r="P19">
        <f t="shared" si="4"/>
        <v>0</v>
      </c>
      <c r="Q19">
        <f t="shared" si="4"/>
        <v>0</v>
      </c>
      <c r="R19">
        <f t="shared" si="4"/>
        <v>0</v>
      </c>
      <c r="S19" t="e">
        <f>#REF!</f>
        <v>#REF!</v>
      </c>
      <c r="T19" t="e">
        <f>#REF!</f>
        <v>#REF!</v>
      </c>
      <c r="U19" t="e">
        <f>#REF!</f>
        <v>#REF!</v>
      </c>
      <c r="V19" t="e">
        <f>#REF!</f>
        <v>#REF!</v>
      </c>
    </row>
    <row r="20" spans="1:22" x14ac:dyDescent="0.35">
      <c r="A20" s="3">
        <v>33756</v>
      </c>
      <c r="B20" s="4">
        <v>1637.0419999999999</v>
      </c>
      <c r="C20">
        <v>18</v>
      </c>
      <c r="D20">
        <f t="shared" si="1"/>
        <v>324</v>
      </c>
      <c r="E20">
        <f t="shared" si="2"/>
        <v>7.4006462337310728</v>
      </c>
      <c r="F20" s="21">
        <f t="shared" si="3"/>
        <v>6</v>
      </c>
      <c r="G20">
        <f t="shared" si="4"/>
        <v>0</v>
      </c>
      <c r="H20">
        <f t="shared" si="4"/>
        <v>0</v>
      </c>
      <c r="I20">
        <f t="shared" si="4"/>
        <v>0</v>
      </c>
      <c r="J20">
        <f t="shared" si="4"/>
        <v>0</v>
      </c>
      <c r="K20">
        <f t="shared" si="4"/>
        <v>0</v>
      </c>
      <c r="L20">
        <f t="shared" si="4"/>
        <v>1</v>
      </c>
      <c r="M20">
        <f t="shared" si="4"/>
        <v>0</v>
      </c>
      <c r="N20">
        <f t="shared" si="4"/>
        <v>0</v>
      </c>
      <c r="O20">
        <f t="shared" si="4"/>
        <v>0</v>
      </c>
      <c r="P20">
        <f t="shared" si="4"/>
        <v>0</v>
      </c>
      <c r="Q20">
        <f t="shared" si="4"/>
        <v>0</v>
      </c>
      <c r="R20">
        <f t="shared" si="4"/>
        <v>0</v>
      </c>
      <c r="S20" t="e">
        <f>#REF!</f>
        <v>#REF!</v>
      </c>
      <c r="T20" t="e">
        <f>#REF!</f>
        <v>#REF!</v>
      </c>
      <c r="U20" t="e">
        <f>#REF!</f>
        <v>#REF!</v>
      </c>
      <c r="V20" t="e">
        <f>#REF!</f>
        <v>#REF!</v>
      </c>
    </row>
    <row r="21" spans="1:22" x14ac:dyDescent="0.35">
      <c r="A21" s="3">
        <v>33786</v>
      </c>
      <c r="B21" s="4">
        <v>1919.309</v>
      </c>
      <c r="C21">
        <v>19</v>
      </c>
      <c r="D21">
        <f t="shared" si="1"/>
        <v>361</v>
      </c>
      <c r="E21">
        <f t="shared" si="2"/>
        <v>7.5597205044104454</v>
      </c>
      <c r="F21" s="21">
        <f t="shared" si="3"/>
        <v>7</v>
      </c>
      <c r="G21">
        <f t="shared" si="4"/>
        <v>0</v>
      </c>
      <c r="H21">
        <f t="shared" si="4"/>
        <v>0</v>
      </c>
      <c r="I21">
        <f t="shared" si="4"/>
        <v>0</v>
      </c>
      <c r="J21">
        <f t="shared" si="4"/>
        <v>0</v>
      </c>
      <c r="K21">
        <f t="shared" si="4"/>
        <v>0</v>
      </c>
      <c r="L21">
        <f t="shared" si="4"/>
        <v>0</v>
      </c>
      <c r="M21">
        <f t="shared" si="4"/>
        <v>1</v>
      </c>
      <c r="N21">
        <f t="shared" si="4"/>
        <v>0</v>
      </c>
      <c r="O21">
        <f t="shared" si="4"/>
        <v>0</v>
      </c>
      <c r="P21">
        <f t="shared" si="4"/>
        <v>0</v>
      </c>
      <c r="Q21">
        <f t="shared" si="4"/>
        <v>0</v>
      </c>
      <c r="R21">
        <f t="shared" si="4"/>
        <v>0</v>
      </c>
      <c r="S21" t="e">
        <f>#REF!</f>
        <v>#REF!</v>
      </c>
      <c r="T21" t="e">
        <f>#REF!</f>
        <v>#REF!</v>
      </c>
      <c r="U21" t="e">
        <f>#REF!</f>
        <v>#REF!</v>
      </c>
      <c r="V21" t="e">
        <f>#REF!</f>
        <v>#REF!</v>
      </c>
    </row>
    <row r="22" spans="1:22" x14ac:dyDescent="0.35">
      <c r="A22" s="3">
        <v>33817</v>
      </c>
      <c r="B22" s="4">
        <v>2010.712</v>
      </c>
      <c r="C22">
        <v>20</v>
      </c>
      <c r="D22">
        <f t="shared" si="1"/>
        <v>400</v>
      </c>
      <c r="E22">
        <f t="shared" si="2"/>
        <v>7.6062441671846139</v>
      </c>
      <c r="F22" s="21">
        <f t="shared" si="3"/>
        <v>8</v>
      </c>
      <c r="G22">
        <f t="shared" si="4"/>
        <v>0</v>
      </c>
      <c r="H22">
        <f t="shared" si="4"/>
        <v>0</v>
      </c>
      <c r="I22">
        <f t="shared" si="4"/>
        <v>0</v>
      </c>
      <c r="J22">
        <f t="shared" si="4"/>
        <v>0</v>
      </c>
      <c r="K22">
        <f t="shared" si="4"/>
        <v>0</v>
      </c>
      <c r="L22">
        <f t="shared" si="4"/>
        <v>0</v>
      </c>
      <c r="M22">
        <f t="shared" si="4"/>
        <v>0</v>
      </c>
      <c r="N22">
        <f t="shared" si="4"/>
        <v>1</v>
      </c>
      <c r="O22">
        <f t="shared" si="4"/>
        <v>0</v>
      </c>
      <c r="P22">
        <f t="shared" si="4"/>
        <v>0</v>
      </c>
      <c r="Q22">
        <f t="shared" si="4"/>
        <v>0</v>
      </c>
      <c r="R22">
        <f t="shared" si="4"/>
        <v>0</v>
      </c>
      <c r="S22" t="e">
        <f>#REF!</f>
        <v>#REF!</v>
      </c>
      <c r="T22" t="e">
        <f>#REF!</f>
        <v>#REF!</v>
      </c>
      <c r="U22" t="e">
        <f>#REF!</f>
        <v>#REF!</v>
      </c>
      <c r="V22" t="e">
        <f>#REF!</f>
        <v>#REF!</v>
      </c>
    </row>
    <row r="23" spans="1:22" x14ac:dyDescent="0.35">
      <c r="A23" s="3">
        <v>33848</v>
      </c>
      <c r="B23" s="4">
        <v>1719.8969999999999</v>
      </c>
      <c r="C23">
        <v>21</v>
      </c>
      <c r="D23">
        <f t="shared" si="1"/>
        <v>441</v>
      </c>
      <c r="E23">
        <f t="shared" si="2"/>
        <v>7.4500196842934665</v>
      </c>
      <c r="F23" s="21">
        <f t="shared" si="3"/>
        <v>9</v>
      </c>
      <c r="G23">
        <f t="shared" si="4"/>
        <v>0</v>
      </c>
      <c r="H23">
        <f t="shared" si="4"/>
        <v>0</v>
      </c>
      <c r="I23">
        <f t="shared" si="4"/>
        <v>0</v>
      </c>
      <c r="J23">
        <f t="shared" si="4"/>
        <v>0</v>
      </c>
      <c r="K23">
        <f t="shared" si="4"/>
        <v>0</v>
      </c>
      <c r="L23">
        <f t="shared" si="4"/>
        <v>0</v>
      </c>
      <c r="M23">
        <f t="shared" si="4"/>
        <v>0</v>
      </c>
      <c r="N23">
        <f t="shared" si="4"/>
        <v>0</v>
      </c>
      <c r="O23">
        <f t="shared" si="4"/>
        <v>1</v>
      </c>
      <c r="P23">
        <f t="shared" si="4"/>
        <v>0</v>
      </c>
      <c r="Q23">
        <f t="shared" si="4"/>
        <v>0</v>
      </c>
      <c r="R23">
        <f t="shared" si="4"/>
        <v>0</v>
      </c>
      <c r="S23" t="e">
        <f>#REF!</f>
        <v>#REF!</v>
      </c>
      <c r="T23" t="e">
        <f>#REF!</f>
        <v>#REF!</v>
      </c>
      <c r="U23" t="e">
        <f>#REF!</f>
        <v>#REF!</v>
      </c>
      <c r="V23" t="e">
        <f>#REF!</f>
        <v>#REF!</v>
      </c>
    </row>
    <row r="24" spans="1:22" x14ac:dyDescent="0.35">
      <c r="A24" s="3">
        <v>33878</v>
      </c>
      <c r="B24" s="4">
        <v>1824</v>
      </c>
      <c r="C24">
        <v>22</v>
      </c>
      <c r="D24">
        <f t="shared" si="1"/>
        <v>484</v>
      </c>
      <c r="E24">
        <f t="shared" si="2"/>
        <v>7.5087871706342764</v>
      </c>
      <c r="F24" s="21">
        <f t="shared" si="3"/>
        <v>10</v>
      </c>
      <c r="G24">
        <f t="shared" si="4"/>
        <v>0</v>
      </c>
      <c r="H24">
        <f t="shared" si="4"/>
        <v>0</v>
      </c>
      <c r="I24">
        <f t="shared" si="4"/>
        <v>0</v>
      </c>
      <c r="J24">
        <f t="shared" si="4"/>
        <v>0</v>
      </c>
      <c r="K24">
        <f t="shared" si="4"/>
        <v>0</v>
      </c>
      <c r="L24">
        <f t="shared" si="4"/>
        <v>0</v>
      </c>
      <c r="M24">
        <f t="shared" si="4"/>
        <v>0</v>
      </c>
      <c r="N24">
        <f t="shared" si="4"/>
        <v>0</v>
      </c>
      <c r="O24">
        <f t="shared" si="4"/>
        <v>0</v>
      </c>
      <c r="P24">
        <f t="shared" si="4"/>
        <v>1</v>
      </c>
      <c r="Q24">
        <f t="shared" si="4"/>
        <v>0</v>
      </c>
      <c r="R24">
        <f t="shared" si="4"/>
        <v>0</v>
      </c>
      <c r="S24" t="e">
        <f>#REF!</f>
        <v>#REF!</v>
      </c>
      <c r="T24" t="e">
        <f>#REF!</f>
        <v>#REF!</v>
      </c>
      <c r="U24" t="e">
        <f>#REF!</f>
        <v>#REF!</v>
      </c>
      <c r="V24" t="e">
        <f>#REF!</f>
        <v>#REF!</v>
      </c>
    </row>
    <row r="25" spans="1:22" x14ac:dyDescent="0.35">
      <c r="A25" s="3">
        <v>33909</v>
      </c>
      <c r="B25" s="4">
        <v>1874.6010000000001</v>
      </c>
      <c r="C25">
        <v>23</v>
      </c>
      <c r="D25">
        <f t="shared" si="1"/>
        <v>529</v>
      </c>
      <c r="E25">
        <f t="shared" si="2"/>
        <v>7.5361511157593783</v>
      </c>
      <c r="F25" s="21">
        <f t="shared" si="3"/>
        <v>11</v>
      </c>
      <c r="G25">
        <f t="shared" si="4"/>
        <v>0</v>
      </c>
      <c r="H25">
        <f t="shared" si="4"/>
        <v>0</v>
      </c>
      <c r="I25">
        <f t="shared" si="4"/>
        <v>0</v>
      </c>
      <c r="J25">
        <f t="shared" si="4"/>
        <v>0</v>
      </c>
      <c r="K25">
        <f t="shared" si="4"/>
        <v>0</v>
      </c>
      <c r="L25">
        <f t="shared" si="4"/>
        <v>0</v>
      </c>
      <c r="M25">
        <f t="shared" si="4"/>
        <v>0</v>
      </c>
      <c r="N25">
        <f t="shared" si="4"/>
        <v>0</v>
      </c>
      <c r="O25">
        <f t="shared" si="4"/>
        <v>0</v>
      </c>
      <c r="P25">
        <f t="shared" si="4"/>
        <v>0</v>
      </c>
      <c r="Q25">
        <f t="shared" si="4"/>
        <v>1</v>
      </c>
      <c r="R25">
        <f t="shared" si="4"/>
        <v>0</v>
      </c>
      <c r="S25" t="e">
        <f>#REF!</f>
        <v>#REF!</v>
      </c>
      <c r="T25" t="e">
        <f>#REF!</f>
        <v>#REF!</v>
      </c>
      <c r="U25" t="e">
        <f>#REF!</f>
        <v>#REF!</v>
      </c>
      <c r="V25" t="e">
        <f>#REF!</f>
        <v>#REF!</v>
      </c>
    </row>
    <row r="26" spans="1:22" x14ac:dyDescent="0.35">
      <c r="A26" s="3">
        <v>33939</v>
      </c>
      <c r="B26" s="4">
        <v>1890.1220000000001</v>
      </c>
      <c r="C26">
        <v>24</v>
      </c>
      <c r="D26">
        <f t="shared" si="1"/>
        <v>576</v>
      </c>
      <c r="E26">
        <f t="shared" si="2"/>
        <v>7.5443966562349596</v>
      </c>
      <c r="F26" s="21">
        <f t="shared" si="3"/>
        <v>12</v>
      </c>
      <c r="G26">
        <f t="shared" si="4"/>
        <v>0</v>
      </c>
      <c r="H26">
        <f t="shared" si="4"/>
        <v>0</v>
      </c>
      <c r="I26">
        <f t="shared" si="4"/>
        <v>0</v>
      </c>
      <c r="J26">
        <f t="shared" si="4"/>
        <v>0</v>
      </c>
      <c r="K26">
        <f t="shared" si="4"/>
        <v>0</v>
      </c>
      <c r="L26">
        <f t="shared" si="4"/>
        <v>0</v>
      </c>
      <c r="M26">
        <f t="shared" si="4"/>
        <v>0</v>
      </c>
      <c r="N26">
        <f t="shared" si="4"/>
        <v>0</v>
      </c>
      <c r="O26">
        <f t="shared" si="4"/>
        <v>0</v>
      </c>
      <c r="P26">
        <f t="shared" si="4"/>
        <v>0</v>
      </c>
      <c r="Q26">
        <f t="shared" si="4"/>
        <v>0</v>
      </c>
      <c r="R26">
        <f t="shared" si="4"/>
        <v>1</v>
      </c>
      <c r="S26" t="e">
        <f>#REF!</f>
        <v>#REF!</v>
      </c>
      <c r="T26" t="e">
        <f>#REF!</f>
        <v>#REF!</v>
      </c>
      <c r="U26" t="e">
        <f>#REF!</f>
        <v>#REF!</v>
      </c>
      <c r="V26" t="e">
        <f>#REF!</f>
        <v>#REF!</v>
      </c>
    </row>
    <row r="27" spans="1:22" x14ac:dyDescent="0.35">
      <c r="A27" s="3">
        <v>33970</v>
      </c>
      <c r="B27" s="4">
        <v>1720.259</v>
      </c>
      <c r="C27">
        <v>25</v>
      </c>
      <c r="D27">
        <f t="shared" si="1"/>
        <v>625</v>
      </c>
      <c r="E27">
        <f t="shared" si="2"/>
        <v>7.4502301398666075</v>
      </c>
      <c r="F27" s="21">
        <f t="shared" si="3"/>
        <v>1</v>
      </c>
      <c r="G27">
        <f t="shared" si="4"/>
        <v>1</v>
      </c>
      <c r="H27">
        <f t="shared" si="4"/>
        <v>0</v>
      </c>
      <c r="I27">
        <f t="shared" si="4"/>
        <v>0</v>
      </c>
      <c r="J27">
        <f t="shared" si="4"/>
        <v>0</v>
      </c>
      <c r="K27">
        <f t="shared" si="4"/>
        <v>0</v>
      </c>
      <c r="L27">
        <f t="shared" si="4"/>
        <v>0</v>
      </c>
      <c r="M27">
        <f t="shared" si="4"/>
        <v>0</v>
      </c>
      <c r="N27">
        <f t="shared" si="4"/>
        <v>0</v>
      </c>
      <c r="O27">
        <f t="shared" si="4"/>
        <v>0</v>
      </c>
      <c r="P27">
        <f t="shared" si="4"/>
        <v>0</v>
      </c>
      <c r="Q27">
        <f t="shared" si="4"/>
        <v>0</v>
      </c>
      <c r="R27">
        <f t="shared" si="4"/>
        <v>0</v>
      </c>
      <c r="S27" t="e">
        <f>#REF!</f>
        <v>#REF!</v>
      </c>
      <c r="T27" t="e">
        <f>#REF!</f>
        <v>#REF!</v>
      </c>
      <c r="U27" t="e">
        <f>#REF!</f>
        <v>#REF!</v>
      </c>
      <c r="V27" t="e">
        <f>#REF!</f>
        <v>#REF!</v>
      </c>
    </row>
    <row r="28" spans="1:22" x14ac:dyDescent="0.35">
      <c r="A28" s="3">
        <v>34001</v>
      </c>
      <c r="B28" s="4">
        <v>1631.5350000000001</v>
      </c>
      <c r="C28">
        <v>26</v>
      </c>
      <c r="D28">
        <f t="shared" si="1"/>
        <v>676</v>
      </c>
      <c r="E28">
        <f t="shared" si="2"/>
        <v>7.3972765684542052</v>
      </c>
      <c r="F28" s="21">
        <f t="shared" si="3"/>
        <v>2</v>
      </c>
      <c r="G28">
        <f t="shared" si="4"/>
        <v>0</v>
      </c>
      <c r="H28">
        <f t="shared" si="4"/>
        <v>1</v>
      </c>
      <c r="I28">
        <f t="shared" si="4"/>
        <v>0</v>
      </c>
      <c r="J28">
        <f t="shared" si="4"/>
        <v>0</v>
      </c>
      <c r="K28">
        <f t="shared" si="4"/>
        <v>0</v>
      </c>
      <c r="L28">
        <f t="shared" si="4"/>
        <v>0</v>
      </c>
      <c r="M28">
        <f t="shared" si="4"/>
        <v>0</v>
      </c>
      <c r="N28">
        <f t="shared" si="4"/>
        <v>0</v>
      </c>
      <c r="O28">
        <f t="shared" si="4"/>
        <v>0</v>
      </c>
      <c r="P28">
        <f t="shared" si="4"/>
        <v>0</v>
      </c>
      <c r="Q28">
        <f t="shared" si="4"/>
        <v>0</v>
      </c>
      <c r="R28">
        <f t="shared" si="4"/>
        <v>0</v>
      </c>
      <c r="S28" t="e">
        <f>#REF!</f>
        <v>#REF!</v>
      </c>
      <c r="T28" t="e">
        <f>#REF!</f>
        <v>#REF!</v>
      </c>
      <c r="U28" t="e">
        <f>#REF!</f>
        <v>#REF!</v>
      </c>
      <c r="V28" t="e">
        <f>#REF!</f>
        <v>#REF!</v>
      </c>
    </row>
    <row r="29" spans="1:22" x14ac:dyDescent="0.35">
      <c r="A29" s="3">
        <v>34029</v>
      </c>
      <c r="B29" s="4">
        <v>1850.7090000000001</v>
      </c>
      <c r="C29">
        <v>27</v>
      </c>
      <c r="D29">
        <f t="shared" si="1"/>
        <v>729</v>
      </c>
      <c r="E29">
        <f t="shared" si="2"/>
        <v>7.5233240878966798</v>
      </c>
      <c r="F29" s="21">
        <f t="shared" si="3"/>
        <v>3</v>
      </c>
      <c r="G29">
        <f t="shared" si="4"/>
        <v>0</v>
      </c>
      <c r="H29">
        <f t="shared" si="4"/>
        <v>0</v>
      </c>
      <c r="I29">
        <f t="shared" si="4"/>
        <v>1</v>
      </c>
      <c r="J29">
        <f t="shared" si="4"/>
        <v>0</v>
      </c>
      <c r="K29">
        <f t="shared" si="4"/>
        <v>0</v>
      </c>
      <c r="L29">
        <f t="shared" si="4"/>
        <v>0</v>
      </c>
      <c r="M29">
        <f t="shared" si="4"/>
        <v>0</v>
      </c>
      <c r="N29">
        <f t="shared" si="4"/>
        <v>0</v>
      </c>
      <c r="O29">
        <f t="shared" si="4"/>
        <v>0</v>
      </c>
      <c r="P29">
        <f t="shared" si="4"/>
        <v>0</v>
      </c>
      <c r="Q29">
        <f t="shared" si="4"/>
        <v>0</v>
      </c>
      <c r="R29">
        <f t="shared" si="4"/>
        <v>0</v>
      </c>
      <c r="S29" t="e">
        <f>#REF!</f>
        <v>#REF!</v>
      </c>
      <c r="T29" t="e">
        <f>#REF!</f>
        <v>#REF!</v>
      </c>
      <c r="U29" t="e">
        <f>#REF!</f>
        <v>#REF!</v>
      </c>
      <c r="V29" t="e">
        <f>#REF!</f>
        <v>#REF!</v>
      </c>
    </row>
    <row r="30" spans="1:22" x14ac:dyDescent="0.35">
      <c r="A30" s="3">
        <v>34060</v>
      </c>
      <c r="B30" s="4">
        <v>1974.0429999999999</v>
      </c>
      <c r="C30">
        <v>28</v>
      </c>
      <c r="D30">
        <f t="shared" si="1"/>
        <v>784</v>
      </c>
      <c r="E30">
        <f t="shared" si="2"/>
        <v>7.5878390029375344</v>
      </c>
      <c r="F30" s="21">
        <f t="shared" si="3"/>
        <v>4</v>
      </c>
      <c r="G30">
        <f t="shared" si="4"/>
        <v>0</v>
      </c>
      <c r="H30">
        <f t="shared" si="4"/>
        <v>0</v>
      </c>
      <c r="I30">
        <f t="shared" si="4"/>
        <v>0</v>
      </c>
      <c r="J30">
        <f t="shared" si="4"/>
        <v>1</v>
      </c>
      <c r="K30">
        <f t="shared" si="4"/>
        <v>0</v>
      </c>
      <c r="L30">
        <f t="shared" si="4"/>
        <v>0</v>
      </c>
      <c r="M30">
        <f t="shared" si="4"/>
        <v>0</v>
      </c>
      <c r="N30">
        <f t="shared" si="4"/>
        <v>0</v>
      </c>
      <c r="O30">
        <f t="shared" si="4"/>
        <v>0</v>
      </c>
      <c r="P30">
        <f t="shared" si="4"/>
        <v>0</v>
      </c>
      <c r="Q30">
        <f t="shared" si="4"/>
        <v>0</v>
      </c>
      <c r="R30">
        <f t="shared" si="4"/>
        <v>0</v>
      </c>
      <c r="S30" t="e">
        <f>#REF!</f>
        <v>#REF!</v>
      </c>
      <c r="T30" t="e">
        <f>#REF!</f>
        <v>#REF!</v>
      </c>
      <c r="U30" t="e">
        <f>#REF!</f>
        <v>#REF!</v>
      </c>
      <c r="V30" t="e">
        <f>#REF!</f>
        <v>#REF!</v>
      </c>
    </row>
    <row r="31" spans="1:22" x14ac:dyDescent="0.35">
      <c r="A31" s="3">
        <v>34090</v>
      </c>
      <c r="B31" s="4">
        <v>1932.1849999999999</v>
      </c>
      <c r="C31">
        <v>29</v>
      </c>
      <c r="D31">
        <f t="shared" si="1"/>
        <v>841</v>
      </c>
      <c r="E31">
        <f t="shared" si="2"/>
        <v>7.5664067658817613</v>
      </c>
      <c r="F31" s="21">
        <f t="shared" si="3"/>
        <v>5</v>
      </c>
      <c r="G31">
        <f t="shared" si="4"/>
        <v>0</v>
      </c>
      <c r="H31">
        <f t="shared" si="4"/>
        <v>0</v>
      </c>
      <c r="I31">
        <f t="shared" si="4"/>
        <v>0</v>
      </c>
      <c r="J31">
        <f t="shared" si="4"/>
        <v>0</v>
      </c>
      <c r="K31">
        <f t="shared" si="4"/>
        <v>1</v>
      </c>
      <c r="L31">
        <f t="shared" si="4"/>
        <v>0</v>
      </c>
      <c r="M31">
        <f t="shared" si="4"/>
        <v>0</v>
      </c>
      <c r="N31">
        <f t="shared" si="4"/>
        <v>0</v>
      </c>
      <c r="O31">
        <f t="shared" si="4"/>
        <v>0</v>
      </c>
      <c r="P31">
        <f t="shared" si="4"/>
        <v>0</v>
      </c>
      <c r="Q31">
        <f t="shared" si="4"/>
        <v>0</v>
      </c>
      <c r="R31">
        <f t="shared" si="4"/>
        <v>0</v>
      </c>
      <c r="S31" t="e">
        <f>#REF!</f>
        <v>#REF!</v>
      </c>
      <c r="T31" t="e">
        <f>#REF!</f>
        <v>#REF!</v>
      </c>
      <c r="U31" t="e">
        <f>#REF!</f>
        <v>#REF!</v>
      </c>
      <c r="V31" t="e">
        <f>#REF!</f>
        <v>#REF!</v>
      </c>
    </row>
    <row r="32" spans="1:22" x14ac:dyDescent="0.35">
      <c r="A32" s="3">
        <v>34121</v>
      </c>
      <c r="B32" s="4">
        <v>1895.3979999999999</v>
      </c>
      <c r="C32">
        <v>30</v>
      </c>
      <c r="D32">
        <f t="shared" si="1"/>
        <v>900</v>
      </c>
      <c r="E32">
        <f t="shared" si="2"/>
        <v>7.5471841218492974</v>
      </c>
      <c r="F32" s="21">
        <f t="shared" si="3"/>
        <v>6</v>
      </c>
      <c r="G32">
        <f t="shared" si="4"/>
        <v>0</v>
      </c>
      <c r="H32">
        <f t="shared" si="4"/>
        <v>0</v>
      </c>
      <c r="I32">
        <f t="shared" si="4"/>
        <v>0</v>
      </c>
      <c r="J32">
        <f t="shared" si="4"/>
        <v>0</v>
      </c>
      <c r="K32">
        <f t="shared" si="4"/>
        <v>0</v>
      </c>
      <c r="L32">
        <f t="shared" si="4"/>
        <v>1</v>
      </c>
      <c r="M32">
        <f t="shared" si="4"/>
        <v>0</v>
      </c>
      <c r="N32">
        <f t="shared" si="4"/>
        <v>0</v>
      </c>
      <c r="O32">
        <f t="shared" si="4"/>
        <v>0</v>
      </c>
      <c r="P32">
        <f t="shared" si="4"/>
        <v>0</v>
      </c>
      <c r="Q32">
        <f t="shared" si="4"/>
        <v>0</v>
      </c>
      <c r="R32">
        <f t="shared" si="4"/>
        <v>0</v>
      </c>
      <c r="S32" t="e">
        <f>#REF!</f>
        <v>#REF!</v>
      </c>
      <c r="T32" t="e">
        <f>#REF!</f>
        <v>#REF!</v>
      </c>
      <c r="U32" t="e">
        <f>#REF!</f>
        <v>#REF!</v>
      </c>
      <c r="V32" t="e">
        <f>#REF!</f>
        <v>#REF!</v>
      </c>
    </row>
    <row r="33" spans="1:22" x14ac:dyDescent="0.35">
      <c r="A33" s="3">
        <v>34151</v>
      </c>
      <c r="B33" s="4">
        <v>1949.009</v>
      </c>
      <c r="C33">
        <v>31</v>
      </c>
      <c r="D33">
        <f t="shared" si="1"/>
        <v>961</v>
      </c>
      <c r="E33">
        <f t="shared" si="2"/>
        <v>7.575076317249593</v>
      </c>
      <c r="F33" s="21">
        <f t="shared" si="3"/>
        <v>7</v>
      </c>
      <c r="G33">
        <f t="shared" si="4"/>
        <v>0</v>
      </c>
      <c r="H33">
        <f t="shared" si="4"/>
        <v>0</v>
      </c>
      <c r="I33">
        <f t="shared" si="4"/>
        <v>0</v>
      </c>
      <c r="J33">
        <f t="shared" si="4"/>
        <v>0</v>
      </c>
      <c r="K33">
        <f t="shared" si="4"/>
        <v>0</v>
      </c>
      <c r="L33">
        <f t="shared" si="4"/>
        <v>0</v>
      </c>
      <c r="M33">
        <f t="shared" si="4"/>
        <v>1</v>
      </c>
      <c r="N33">
        <f t="shared" si="4"/>
        <v>0</v>
      </c>
      <c r="O33">
        <f t="shared" si="4"/>
        <v>0</v>
      </c>
      <c r="P33">
        <f t="shared" si="4"/>
        <v>0</v>
      </c>
      <c r="Q33">
        <f t="shared" si="4"/>
        <v>0</v>
      </c>
      <c r="R33">
        <f t="shared" si="4"/>
        <v>0</v>
      </c>
      <c r="S33" t="e">
        <f>#REF!</f>
        <v>#REF!</v>
      </c>
      <c r="T33" t="e">
        <f>#REF!</f>
        <v>#REF!</v>
      </c>
      <c r="U33" t="e">
        <f>#REF!</f>
        <v>#REF!</v>
      </c>
      <c r="V33" t="e">
        <f>#REF!</f>
        <v>#REF!</v>
      </c>
    </row>
    <row r="34" spans="1:22" x14ac:dyDescent="0.35">
      <c r="A34" s="3">
        <v>34182</v>
      </c>
      <c r="B34" s="4">
        <v>2012.1669999999999</v>
      </c>
      <c r="C34">
        <v>32</v>
      </c>
      <c r="D34">
        <f t="shared" si="1"/>
        <v>1024</v>
      </c>
      <c r="E34">
        <f t="shared" si="2"/>
        <v>7.6069675297632271</v>
      </c>
      <c r="F34" s="21">
        <f t="shared" si="3"/>
        <v>8</v>
      </c>
      <c r="G34">
        <f t="shared" si="4"/>
        <v>0</v>
      </c>
      <c r="H34">
        <f t="shared" si="4"/>
        <v>0</v>
      </c>
      <c r="I34">
        <f t="shared" si="4"/>
        <v>0</v>
      </c>
      <c r="J34">
        <f t="shared" si="4"/>
        <v>0</v>
      </c>
      <c r="K34">
        <f t="shared" si="4"/>
        <v>0</v>
      </c>
      <c r="L34">
        <f t="shared" si="4"/>
        <v>0</v>
      </c>
      <c r="M34">
        <f t="shared" si="4"/>
        <v>0</v>
      </c>
      <c r="N34">
        <f t="shared" si="4"/>
        <v>1</v>
      </c>
      <c r="O34">
        <f t="shared" si="4"/>
        <v>0</v>
      </c>
      <c r="P34">
        <f t="shared" si="4"/>
        <v>0</v>
      </c>
      <c r="Q34">
        <f t="shared" si="4"/>
        <v>0</v>
      </c>
      <c r="R34">
        <f t="shared" si="4"/>
        <v>0</v>
      </c>
      <c r="S34" t="e">
        <f>#REF!</f>
        <v>#REF!</v>
      </c>
      <c r="T34" t="e">
        <f>#REF!</f>
        <v>#REF!</v>
      </c>
      <c r="U34" t="e">
        <f>#REF!</f>
        <v>#REF!</v>
      </c>
      <c r="V34" t="e">
        <f>#REF!</f>
        <v>#REF!</v>
      </c>
    </row>
    <row r="35" spans="1:22" x14ac:dyDescent="0.35">
      <c r="A35" s="3">
        <v>34213</v>
      </c>
      <c r="B35" s="4">
        <v>1689.8409999999999</v>
      </c>
      <c r="C35">
        <v>33</v>
      </c>
      <c r="D35">
        <f t="shared" si="1"/>
        <v>1089</v>
      </c>
      <c r="E35">
        <f t="shared" si="2"/>
        <v>7.4323897206508143</v>
      </c>
      <c r="F35" s="21">
        <f t="shared" si="3"/>
        <v>9</v>
      </c>
      <c r="G35">
        <f t="shared" si="4"/>
        <v>0</v>
      </c>
      <c r="H35">
        <f t="shared" si="4"/>
        <v>0</v>
      </c>
      <c r="I35">
        <f t="shared" si="4"/>
        <v>0</v>
      </c>
      <c r="J35">
        <f t="shared" si="4"/>
        <v>0</v>
      </c>
      <c r="K35">
        <f t="shared" si="4"/>
        <v>0</v>
      </c>
      <c r="L35">
        <f t="shared" si="4"/>
        <v>0</v>
      </c>
      <c r="M35">
        <f t="shared" si="4"/>
        <v>0</v>
      </c>
      <c r="N35">
        <f t="shared" si="4"/>
        <v>0</v>
      </c>
      <c r="O35">
        <f t="shared" si="4"/>
        <v>1</v>
      </c>
      <c r="P35">
        <f t="shared" si="4"/>
        <v>0</v>
      </c>
      <c r="Q35">
        <f t="shared" si="4"/>
        <v>0</v>
      </c>
      <c r="R35">
        <f t="shared" si="4"/>
        <v>0</v>
      </c>
      <c r="S35" t="e">
        <f>#REF!</f>
        <v>#REF!</v>
      </c>
      <c r="T35" t="e">
        <f>#REF!</f>
        <v>#REF!</v>
      </c>
      <c r="U35" t="e">
        <f>#REF!</f>
        <v>#REF!</v>
      </c>
      <c r="V35" t="e">
        <f>#REF!</f>
        <v>#REF!</v>
      </c>
    </row>
    <row r="36" spans="1:22" x14ac:dyDescent="0.35">
      <c r="A36" s="3">
        <v>34243</v>
      </c>
      <c r="B36" s="4">
        <v>1769.827</v>
      </c>
      <c r="C36">
        <v>34</v>
      </c>
      <c r="D36">
        <f t="shared" si="1"/>
        <v>1156</v>
      </c>
      <c r="E36">
        <f t="shared" si="2"/>
        <v>7.4786370806780047</v>
      </c>
      <c r="F36" s="21">
        <f t="shared" si="3"/>
        <v>10</v>
      </c>
      <c r="G36">
        <f t="shared" ref="G36:R57" si="5">IF($F36=G$1,1,0)</f>
        <v>0</v>
      </c>
      <c r="H36">
        <f t="shared" si="5"/>
        <v>0</v>
      </c>
      <c r="I36">
        <f t="shared" si="5"/>
        <v>0</v>
      </c>
      <c r="J36">
        <f t="shared" si="5"/>
        <v>0</v>
      </c>
      <c r="K36">
        <f t="shared" si="5"/>
        <v>0</v>
      </c>
      <c r="L36">
        <f t="shared" si="5"/>
        <v>0</v>
      </c>
      <c r="M36">
        <f t="shared" si="5"/>
        <v>0</v>
      </c>
      <c r="N36">
        <f t="shared" si="5"/>
        <v>0</v>
      </c>
      <c r="O36">
        <f t="shared" si="5"/>
        <v>0</v>
      </c>
      <c r="P36">
        <f t="shared" si="5"/>
        <v>1</v>
      </c>
      <c r="Q36">
        <f t="shared" si="5"/>
        <v>0</v>
      </c>
      <c r="R36">
        <f t="shared" si="5"/>
        <v>0</v>
      </c>
      <c r="S36" t="e">
        <f>#REF!</f>
        <v>#REF!</v>
      </c>
      <c r="T36" t="e">
        <f>#REF!</f>
        <v>#REF!</v>
      </c>
      <c r="U36" t="e">
        <f>#REF!</f>
        <v>#REF!</v>
      </c>
      <c r="V36" t="e">
        <f>#REF!</f>
        <v>#REF!</v>
      </c>
    </row>
    <row r="37" spans="1:22" x14ac:dyDescent="0.35">
      <c r="A37" s="3">
        <v>34274</v>
      </c>
      <c r="B37" s="4">
        <v>1733.377</v>
      </c>
      <c r="C37">
        <v>35</v>
      </c>
      <c r="D37">
        <f t="shared" si="1"/>
        <v>1225</v>
      </c>
      <c r="E37">
        <f t="shared" si="2"/>
        <v>7.4578268078917809</v>
      </c>
      <c r="F37" s="21">
        <f t="shared" si="3"/>
        <v>11</v>
      </c>
      <c r="G37">
        <f t="shared" si="5"/>
        <v>0</v>
      </c>
      <c r="H37">
        <f t="shared" si="5"/>
        <v>0</v>
      </c>
      <c r="I37">
        <f t="shared" si="5"/>
        <v>0</v>
      </c>
      <c r="J37">
        <f t="shared" si="5"/>
        <v>0</v>
      </c>
      <c r="K37">
        <f t="shared" si="5"/>
        <v>0</v>
      </c>
      <c r="L37">
        <f t="shared" si="5"/>
        <v>0</v>
      </c>
      <c r="M37">
        <f t="shared" si="5"/>
        <v>0</v>
      </c>
      <c r="N37">
        <f t="shared" si="5"/>
        <v>0</v>
      </c>
      <c r="O37">
        <f t="shared" si="5"/>
        <v>0</v>
      </c>
      <c r="P37">
        <f t="shared" si="5"/>
        <v>0</v>
      </c>
      <c r="Q37">
        <f t="shared" si="5"/>
        <v>1</v>
      </c>
      <c r="R37">
        <f t="shared" si="5"/>
        <v>0</v>
      </c>
      <c r="S37" t="e">
        <f>#REF!</f>
        <v>#REF!</v>
      </c>
      <c r="T37" t="e">
        <f>#REF!</f>
        <v>#REF!</v>
      </c>
      <c r="U37" t="e">
        <f>#REF!</f>
        <v>#REF!</v>
      </c>
      <c r="V37" t="e">
        <f>#REF!</f>
        <v>#REF!</v>
      </c>
    </row>
    <row r="38" spans="1:22" x14ac:dyDescent="0.35">
      <c r="A38" s="3">
        <v>34304</v>
      </c>
      <c r="B38" s="4">
        <v>1748.2919999999999</v>
      </c>
      <c r="C38">
        <v>36</v>
      </c>
      <c r="D38">
        <f t="shared" si="1"/>
        <v>1296</v>
      </c>
      <c r="E38">
        <f t="shared" si="2"/>
        <v>7.4663945903194282</v>
      </c>
      <c r="F38" s="21">
        <f t="shared" si="3"/>
        <v>12</v>
      </c>
      <c r="G38">
        <f t="shared" si="5"/>
        <v>0</v>
      </c>
      <c r="H38">
        <f t="shared" si="5"/>
        <v>0</v>
      </c>
      <c r="I38">
        <f t="shared" si="5"/>
        <v>0</v>
      </c>
      <c r="J38">
        <f t="shared" si="5"/>
        <v>0</v>
      </c>
      <c r="K38">
        <f t="shared" si="5"/>
        <v>0</v>
      </c>
      <c r="L38">
        <f t="shared" si="5"/>
        <v>0</v>
      </c>
      <c r="M38">
        <f t="shared" si="5"/>
        <v>0</v>
      </c>
      <c r="N38">
        <f t="shared" si="5"/>
        <v>0</v>
      </c>
      <c r="O38">
        <f t="shared" si="5"/>
        <v>0</v>
      </c>
      <c r="P38">
        <f t="shared" si="5"/>
        <v>0</v>
      </c>
      <c r="Q38">
        <f t="shared" si="5"/>
        <v>0</v>
      </c>
      <c r="R38">
        <f t="shared" si="5"/>
        <v>1</v>
      </c>
      <c r="S38" t="e">
        <f>#REF!</f>
        <v>#REF!</v>
      </c>
      <c r="T38" t="e">
        <f>#REF!</f>
        <v>#REF!</v>
      </c>
      <c r="U38" t="e">
        <f>#REF!</f>
        <v>#REF!</v>
      </c>
      <c r="V38" t="e">
        <f>#REF!</f>
        <v>#REF!</v>
      </c>
    </row>
    <row r="39" spans="1:22" x14ac:dyDescent="0.35">
      <c r="A39" s="3">
        <v>34335</v>
      </c>
      <c r="B39" s="4">
        <v>1575.365</v>
      </c>
      <c r="C39">
        <v>37</v>
      </c>
      <c r="D39">
        <f t="shared" si="1"/>
        <v>1369</v>
      </c>
      <c r="E39">
        <f t="shared" si="2"/>
        <v>7.3622422704425157</v>
      </c>
      <c r="F39" s="21">
        <f t="shared" si="3"/>
        <v>1</v>
      </c>
      <c r="G39">
        <f t="shared" si="5"/>
        <v>1</v>
      </c>
      <c r="H39">
        <f t="shared" si="5"/>
        <v>0</v>
      </c>
      <c r="I39">
        <f t="shared" si="5"/>
        <v>0</v>
      </c>
      <c r="J39">
        <f t="shared" si="5"/>
        <v>0</v>
      </c>
      <c r="K39">
        <f t="shared" si="5"/>
        <v>0</v>
      </c>
      <c r="L39">
        <f t="shared" si="5"/>
        <v>0</v>
      </c>
      <c r="M39">
        <f t="shared" si="5"/>
        <v>0</v>
      </c>
      <c r="N39">
        <f t="shared" si="5"/>
        <v>0</v>
      </c>
      <c r="O39">
        <f t="shared" si="5"/>
        <v>0</v>
      </c>
      <c r="P39">
        <f t="shared" si="5"/>
        <v>0</v>
      </c>
      <c r="Q39">
        <f t="shared" si="5"/>
        <v>0</v>
      </c>
      <c r="R39">
        <f t="shared" si="5"/>
        <v>0</v>
      </c>
      <c r="S39" t="e">
        <f>#REF!</f>
        <v>#REF!</v>
      </c>
      <c r="T39" t="e">
        <f>#REF!</f>
        <v>#REF!</v>
      </c>
      <c r="U39" t="e">
        <f>#REF!</f>
        <v>#REF!</v>
      </c>
      <c r="V39" t="e">
        <f>#REF!</f>
        <v>#REF!</v>
      </c>
    </row>
    <row r="40" spans="1:22" x14ac:dyDescent="0.35">
      <c r="A40" s="3">
        <v>34366</v>
      </c>
      <c r="B40" s="4">
        <v>1589.9590000000001</v>
      </c>
      <c r="C40">
        <v>38</v>
      </c>
      <c r="D40">
        <f t="shared" si="1"/>
        <v>1444</v>
      </c>
      <c r="E40">
        <f t="shared" si="2"/>
        <v>7.3714635087182865</v>
      </c>
      <c r="F40" s="21">
        <f t="shared" si="3"/>
        <v>2</v>
      </c>
      <c r="G40">
        <f t="shared" si="5"/>
        <v>0</v>
      </c>
      <c r="H40">
        <f t="shared" si="5"/>
        <v>1</v>
      </c>
      <c r="I40">
        <f t="shared" si="5"/>
        <v>0</v>
      </c>
      <c r="J40">
        <f t="shared" si="5"/>
        <v>0</v>
      </c>
      <c r="K40">
        <f t="shared" si="5"/>
        <v>0</v>
      </c>
      <c r="L40">
        <f t="shared" si="5"/>
        <v>0</v>
      </c>
      <c r="M40">
        <f t="shared" si="5"/>
        <v>0</v>
      </c>
      <c r="N40">
        <f t="shared" si="5"/>
        <v>0</v>
      </c>
      <c r="O40">
        <f t="shared" si="5"/>
        <v>0</v>
      </c>
      <c r="P40">
        <f t="shared" si="5"/>
        <v>0</v>
      </c>
      <c r="Q40">
        <f t="shared" si="5"/>
        <v>0</v>
      </c>
      <c r="R40">
        <f t="shared" si="5"/>
        <v>0</v>
      </c>
      <c r="S40" t="e">
        <f>#REF!</f>
        <v>#REF!</v>
      </c>
      <c r="T40" t="e">
        <f>#REF!</f>
        <v>#REF!</v>
      </c>
      <c r="U40" t="e">
        <f>#REF!</f>
        <v>#REF!</v>
      </c>
      <c r="V40" t="e">
        <f>#REF!</f>
        <v>#REF!</v>
      </c>
    </row>
    <row r="41" spans="1:22" x14ac:dyDescent="0.35">
      <c r="A41" s="3">
        <v>34394</v>
      </c>
      <c r="B41" s="4">
        <v>1919.6389999999999</v>
      </c>
      <c r="C41">
        <v>39</v>
      </c>
      <c r="D41">
        <f t="shared" si="1"/>
        <v>1521</v>
      </c>
      <c r="E41">
        <f t="shared" si="2"/>
        <v>7.5598924265103609</v>
      </c>
      <c r="F41" s="21">
        <f t="shared" si="3"/>
        <v>3</v>
      </c>
      <c r="G41">
        <f t="shared" si="5"/>
        <v>0</v>
      </c>
      <c r="H41">
        <f t="shared" si="5"/>
        <v>0</v>
      </c>
      <c r="I41">
        <f t="shared" si="5"/>
        <v>1</v>
      </c>
      <c r="J41">
        <f t="shared" si="5"/>
        <v>0</v>
      </c>
      <c r="K41">
        <f t="shared" si="5"/>
        <v>0</v>
      </c>
      <c r="L41">
        <f t="shared" si="5"/>
        <v>0</v>
      </c>
      <c r="M41">
        <f t="shared" si="5"/>
        <v>0</v>
      </c>
      <c r="N41">
        <f t="shared" si="5"/>
        <v>0</v>
      </c>
      <c r="O41">
        <f t="shared" si="5"/>
        <v>0</v>
      </c>
      <c r="P41">
        <f t="shared" si="5"/>
        <v>0</v>
      </c>
      <c r="Q41">
        <f t="shared" si="5"/>
        <v>0</v>
      </c>
      <c r="R41">
        <f t="shared" si="5"/>
        <v>0</v>
      </c>
      <c r="S41" t="e">
        <f>#REF!</f>
        <v>#REF!</v>
      </c>
      <c r="T41" t="e">
        <f>#REF!</f>
        <v>#REF!</v>
      </c>
      <c r="U41" t="e">
        <f>#REF!</f>
        <v>#REF!</v>
      </c>
      <c r="V41" t="e">
        <f>#REF!</f>
        <v>#REF!</v>
      </c>
    </row>
    <row r="42" spans="1:22" x14ac:dyDescent="0.35">
      <c r="A42" s="3">
        <v>34425</v>
      </c>
      <c r="B42" s="4">
        <v>1849.8879999999999</v>
      </c>
      <c r="C42">
        <v>40</v>
      </c>
      <c r="D42">
        <f t="shared" si="1"/>
        <v>1600</v>
      </c>
      <c r="E42">
        <f t="shared" si="2"/>
        <v>7.5228803756991773</v>
      </c>
      <c r="F42" s="21">
        <f t="shared" si="3"/>
        <v>4</v>
      </c>
      <c r="G42">
        <f t="shared" si="5"/>
        <v>0</v>
      </c>
      <c r="H42">
        <f t="shared" si="5"/>
        <v>0</v>
      </c>
      <c r="I42">
        <f t="shared" si="5"/>
        <v>0</v>
      </c>
      <c r="J42">
        <f t="shared" si="5"/>
        <v>1</v>
      </c>
      <c r="K42">
        <f t="shared" si="5"/>
        <v>0</v>
      </c>
      <c r="L42">
        <f t="shared" si="5"/>
        <v>0</v>
      </c>
      <c r="M42">
        <f t="shared" si="5"/>
        <v>0</v>
      </c>
      <c r="N42">
        <f t="shared" si="5"/>
        <v>0</v>
      </c>
      <c r="O42">
        <f t="shared" si="5"/>
        <v>0</v>
      </c>
      <c r="P42">
        <f t="shared" si="5"/>
        <v>0</v>
      </c>
      <c r="Q42">
        <f t="shared" si="5"/>
        <v>0</v>
      </c>
      <c r="R42">
        <f t="shared" si="5"/>
        <v>0</v>
      </c>
      <c r="S42" t="e">
        <f>#REF!</f>
        <v>#REF!</v>
      </c>
      <c r="T42" t="e">
        <f>#REF!</f>
        <v>#REF!</v>
      </c>
      <c r="U42" t="e">
        <f>#REF!</f>
        <v>#REF!</v>
      </c>
      <c r="V42" t="e">
        <f>#REF!</f>
        <v>#REF!</v>
      </c>
    </row>
    <row r="43" spans="1:22" x14ac:dyDescent="0.35">
      <c r="A43" s="3">
        <v>34455</v>
      </c>
      <c r="B43" s="4">
        <v>1845.049</v>
      </c>
      <c r="C43">
        <v>41</v>
      </c>
      <c r="D43">
        <f t="shared" si="1"/>
        <v>1681</v>
      </c>
      <c r="E43">
        <f t="shared" si="2"/>
        <v>7.5202611143875453</v>
      </c>
      <c r="F43" s="21">
        <f t="shared" si="3"/>
        <v>5</v>
      </c>
      <c r="G43">
        <f t="shared" si="5"/>
        <v>0</v>
      </c>
      <c r="H43">
        <f t="shared" si="5"/>
        <v>0</v>
      </c>
      <c r="I43">
        <f t="shared" si="5"/>
        <v>0</v>
      </c>
      <c r="J43">
        <f t="shared" si="5"/>
        <v>0</v>
      </c>
      <c r="K43">
        <f t="shared" si="5"/>
        <v>1</v>
      </c>
      <c r="L43">
        <f t="shared" si="5"/>
        <v>0</v>
      </c>
      <c r="M43">
        <f t="shared" si="5"/>
        <v>0</v>
      </c>
      <c r="N43">
        <f t="shared" si="5"/>
        <v>0</v>
      </c>
      <c r="O43">
        <f t="shared" si="5"/>
        <v>0</v>
      </c>
      <c r="P43">
        <f t="shared" si="5"/>
        <v>0</v>
      </c>
      <c r="Q43">
        <f t="shared" si="5"/>
        <v>0</v>
      </c>
      <c r="R43">
        <f t="shared" si="5"/>
        <v>0</v>
      </c>
      <c r="S43" t="e">
        <f>#REF!</f>
        <v>#REF!</v>
      </c>
      <c r="T43" t="e">
        <f>#REF!</f>
        <v>#REF!</v>
      </c>
      <c r="U43" t="e">
        <f>#REF!</f>
        <v>#REF!</v>
      </c>
      <c r="V43" t="e">
        <f>#REF!</f>
        <v>#REF!</v>
      </c>
    </row>
    <row r="44" spans="1:22" x14ac:dyDescent="0.35">
      <c r="A44" s="3">
        <v>34486</v>
      </c>
      <c r="B44" s="4">
        <v>1790.7550000000001</v>
      </c>
      <c r="C44">
        <v>42</v>
      </c>
      <c r="D44">
        <f t="shared" si="1"/>
        <v>1764</v>
      </c>
      <c r="E44">
        <f t="shared" si="2"/>
        <v>7.490392597616867</v>
      </c>
      <c r="F44" s="21">
        <f t="shared" si="3"/>
        <v>6</v>
      </c>
      <c r="G44">
        <f t="shared" si="5"/>
        <v>0</v>
      </c>
      <c r="H44">
        <f t="shared" si="5"/>
        <v>0</v>
      </c>
      <c r="I44">
        <f t="shared" si="5"/>
        <v>0</v>
      </c>
      <c r="J44">
        <f t="shared" si="5"/>
        <v>0</v>
      </c>
      <c r="K44">
        <f t="shared" si="5"/>
        <v>0</v>
      </c>
      <c r="L44">
        <f t="shared" si="5"/>
        <v>1</v>
      </c>
      <c r="M44">
        <f t="shared" si="5"/>
        <v>0</v>
      </c>
      <c r="N44">
        <f t="shared" si="5"/>
        <v>0</v>
      </c>
      <c r="O44">
        <f t="shared" si="5"/>
        <v>0</v>
      </c>
      <c r="P44">
        <f t="shared" si="5"/>
        <v>0</v>
      </c>
      <c r="Q44">
        <f t="shared" si="5"/>
        <v>0</v>
      </c>
      <c r="R44">
        <f t="shared" si="5"/>
        <v>0</v>
      </c>
      <c r="S44" t="e">
        <f>#REF!</f>
        <v>#REF!</v>
      </c>
      <c r="T44" t="e">
        <f>#REF!</f>
        <v>#REF!</v>
      </c>
      <c r="U44" t="e">
        <f>#REF!</f>
        <v>#REF!</v>
      </c>
      <c r="V44" t="e">
        <f>#REF!</f>
        <v>#REF!</v>
      </c>
    </row>
    <row r="45" spans="1:22" x14ac:dyDescent="0.35">
      <c r="A45" s="3">
        <v>34516</v>
      </c>
      <c r="B45" s="4">
        <v>1882.508</v>
      </c>
      <c r="C45">
        <v>43</v>
      </c>
      <c r="D45">
        <f t="shared" si="1"/>
        <v>1849</v>
      </c>
      <c r="E45">
        <f t="shared" si="2"/>
        <v>7.5403602093330138</v>
      </c>
      <c r="F45" s="21">
        <f t="shared" si="3"/>
        <v>7</v>
      </c>
      <c r="G45">
        <f t="shared" si="5"/>
        <v>0</v>
      </c>
      <c r="H45">
        <f t="shared" si="5"/>
        <v>0</v>
      </c>
      <c r="I45">
        <f t="shared" si="5"/>
        <v>0</v>
      </c>
      <c r="J45">
        <f t="shared" si="5"/>
        <v>0</v>
      </c>
      <c r="K45">
        <f t="shared" si="5"/>
        <v>0</v>
      </c>
      <c r="L45">
        <f t="shared" si="5"/>
        <v>0</v>
      </c>
      <c r="M45">
        <f t="shared" si="5"/>
        <v>1</v>
      </c>
      <c r="N45">
        <f t="shared" si="5"/>
        <v>0</v>
      </c>
      <c r="O45">
        <f t="shared" si="5"/>
        <v>0</v>
      </c>
      <c r="P45">
        <f t="shared" si="5"/>
        <v>0</v>
      </c>
      <c r="Q45">
        <f t="shared" si="5"/>
        <v>0</v>
      </c>
      <c r="R45">
        <f t="shared" si="5"/>
        <v>0</v>
      </c>
      <c r="S45" t="e">
        <f>#REF!</f>
        <v>#REF!</v>
      </c>
      <c r="T45" t="e">
        <f>#REF!</f>
        <v>#REF!</v>
      </c>
      <c r="U45" t="e">
        <f>#REF!</f>
        <v>#REF!</v>
      </c>
      <c r="V45" t="e">
        <f>#REF!</f>
        <v>#REF!</v>
      </c>
    </row>
    <row r="46" spans="1:22" x14ac:dyDescent="0.35">
      <c r="A46" s="3">
        <v>34547</v>
      </c>
      <c r="B46" s="4">
        <v>1921.6079999999999</v>
      </c>
      <c r="C46">
        <v>44</v>
      </c>
      <c r="D46">
        <f t="shared" si="1"/>
        <v>1936</v>
      </c>
      <c r="E46">
        <f t="shared" si="2"/>
        <v>7.5609176145143886</v>
      </c>
      <c r="F46" s="21">
        <f t="shared" si="3"/>
        <v>8</v>
      </c>
      <c r="G46">
        <f t="shared" si="5"/>
        <v>0</v>
      </c>
      <c r="H46">
        <f t="shared" si="5"/>
        <v>0</v>
      </c>
      <c r="I46">
        <f t="shared" si="5"/>
        <v>0</v>
      </c>
      <c r="J46">
        <f t="shared" si="5"/>
        <v>0</v>
      </c>
      <c r="K46">
        <f t="shared" si="5"/>
        <v>0</v>
      </c>
      <c r="L46">
        <f t="shared" si="5"/>
        <v>0</v>
      </c>
      <c r="M46">
        <f t="shared" si="5"/>
        <v>0</v>
      </c>
      <c r="N46">
        <f t="shared" si="5"/>
        <v>1</v>
      </c>
      <c r="O46">
        <f t="shared" si="5"/>
        <v>0</v>
      </c>
      <c r="P46">
        <f t="shared" si="5"/>
        <v>0</v>
      </c>
      <c r="Q46">
        <f t="shared" si="5"/>
        <v>0</v>
      </c>
      <c r="R46">
        <f t="shared" si="5"/>
        <v>0</v>
      </c>
      <c r="S46" t="e">
        <f>#REF!</f>
        <v>#REF!</v>
      </c>
      <c r="T46" t="e">
        <f>#REF!</f>
        <v>#REF!</v>
      </c>
      <c r="U46" t="e">
        <f>#REF!</f>
        <v>#REF!</v>
      </c>
      <c r="V46" t="e">
        <f>#REF!</f>
        <v>#REF!</v>
      </c>
    </row>
    <row r="47" spans="1:22" x14ac:dyDescent="0.35">
      <c r="A47" s="3">
        <v>34578</v>
      </c>
      <c r="B47" s="4">
        <v>1702.6320000000001</v>
      </c>
      <c r="C47">
        <v>45</v>
      </c>
      <c r="D47">
        <f t="shared" si="1"/>
        <v>2025</v>
      </c>
      <c r="E47">
        <f t="shared" si="2"/>
        <v>7.4399305680577843</v>
      </c>
      <c r="F47" s="21">
        <f t="shared" si="3"/>
        <v>9</v>
      </c>
      <c r="G47">
        <f t="shared" si="5"/>
        <v>0</v>
      </c>
      <c r="H47">
        <f t="shared" si="5"/>
        <v>0</v>
      </c>
      <c r="I47">
        <f t="shared" si="5"/>
        <v>0</v>
      </c>
      <c r="J47">
        <f t="shared" si="5"/>
        <v>0</v>
      </c>
      <c r="K47">
        <f t="shared" si="5"/>
        <v>0</v>
      </c>
      <c r="L47">
        <f t="shared" si="5"/>
        <v>0</v>
      </c>
      <c r="M47">
        <f t="shared" si="5"/>
        <v>0</v>
      </c>
      <c r="N47">
        <f t="shared" si="5"/>
        <v>0</v>
      </c>
      <c r="O47">
        <f t="shared" si="5"/>
        <v>1</v>
      </c>
      <c r="P47">
        <f t="shared" si="5"/>
        <v>0</v>
      </c>
      <c r="Q47">
        <f t="shared" si="5"/>
        <v>0</v>
      </c>
      <c r="R47">
        <f t="shared" si="5"/>
        <v>0</v>
      </c>
      <c r="S47" t="e">
        <f>#REF!</f>
        <v>#REF!</v>
      </c>
      <c r="T47" t="e">
        <f>#REF!</f>
        <v>#REF!</v>
      </c>
      <c r="U47" t="e">
        <f>#REF!</f>
        <v>#REF!</v>
      </c>
      <c r="V47" t="e">
        <f>#REF!</f>
        <v>#REF!</v>
      </c>
    </row>
    <row r="48" spans="1:22" x14ac:dyDescent="0.35">
      <c r="A48" s="3">
        <v>34608</v>
      </c>
      <c r="B48" s="4">
        <v>1790.546</v>
      </c>
      <c r="C48">
        <v>46</v>
      </c>
      <c r="D48">
        <f t="shared" si="1"/>
        <v>2116</v>
      </c>
      <c r="E48">
        <f t="shared" si="2"/>
        <v>7.4902758802561999</v>
      </c>
      <c r="F48" s="21">
        <f t="shared" si="3"/>
        <v>10</v>
      </c>
      <c r="G48">
        <f t="shared" si="5"/>
        <v>0</v>
      </c>
      <c r="H48">
        <f t="shared" si="5"/>
        <v>0</v>
      </c>
      <c r="I48">
        <f t="shared" si="5"/>
        <v>0</v>
      </c>
      <c r="J48">
        <f t="shared" si="5"/>
        <v>0</v>
      </c>
      <c r="K48">
        <f t="shared" si="5"/>
        <v>0</v>
      </c>
      <c r="L48">
        <f t="shared" si="5"/>
        <v>0</v>
      </c>
      <c r="M48">
        <f t="shared" si="5"/>
        <v>0</v>
      </c>
      <c r="N48">
        <f t="shared" si="5"/>
        <v>0</v>
      </c>
      <c r="O48">
        <f t="shared" si="5"/>
        <v>0</v>
      </c>
      <c r="P48">
        <f t="shared" si="5"/>
        <v>1</v>
      </c>
      <c r="Q48">
        <f t="shared" si="5"/>
        <v>0</v>
      </c>
      <c r="R48">
        <f t="shared" si="5"/>
        <v>0</v>
      </c>
      <c r="S48" t="e">
        <f>#REF!</f>
        <v>#REF!</v>
      </c>
      <c r="T48" t="e">
        <f>#REF!</f>
        <v>#REF!</v>
      </c>
      <c r="U48" t="e">
        <f>#REF!</f>
        <v>#REF!</v>
      </c>
      <c r="V48" t="e">
        <f>#REF!</f>
        <v>#REF!</v>
      </c>
    </row>
    <row r="49" spans="1:22" x14ac:dyDescent="0.35">
      <c r="A49" s="3">
        <v>34639</v>
      </c>
      <c r="B49" s="4">
        <v>1790.9949999999999</v>
      </c>
      <c r="C49">
        <v>47</v>
      </c>
      <c r="D49">
        <f t="shared" si="1"/>
        <v>2209</v>
      </c>
      <c r="E49">
        <f t="shared" si="2"/>
        <v>7.4905266103203552</v>
      </c>
      <c r="F49" s="21">
        <f t="shared" si="3"/>
        <v>11</v>
      </c>
      <c r="G49">
        <f t="shared" si="5"/>
        <v>0</v>
      </c>
      <c r="H49">
        <f t="shared" si="5"/>
        <v>0</v>
      </c>
      <c r="I49">
        <f t="shared" si="5"/>
        <v>0</v>
      </c>
      <c r="J49">
        <f t="shared" si="5"/>
        <v>0</v>
      </c>
      <c r="K49">
        <f t="shared" si="5"/>
        <v>0</v>
      </c>
      <c r="L49">
        <f t="shared" si="5"/>
        <v>0</v>
      </c>
      <c r="M49">
        <f t="shared" si="5"/>
        <v>0</v>
      </c>
      <c r="N49">
        <f t="shared" si="5"/>
        <v>0</v>
      </c>
      <c r="O49">
        <f t="shared" si="5"/>
        <v>0</v>
      </c>
      <c r="P49">
        <f t="shared" si="5"/>
        <v>0</v>
      </c>
      <c r="Q49">
        <f t="shared" si="5"/>
        <v>1</v>
      </c>
      <c r="R49">
        <f t="shared" si="5"/>
        <v>0</v>
      </c>
      <c r="S49" t="e">
        <f>#REF!</f>
        <v>#REF!</v>
      </c>
      <c r="T49" t="e">
        <f>#REF!</f>
        <v>#REF!</v>
      </c>
      <c r="U49" t="e">
        <f>#REF!</f>
        <v>#REF!</v>
      </c>
      <c r="V49" t="e">
        <f>#REF!</f>
        <v>#REF!</v>
      </c>
    </row>
    <row r="50" spans="1:22" x14ac:dyDescent="0.35">
      <c r="A50" s="3">
        <v>34669</v>
      </c>
      <c r="B50" s="4">
        <v>1797.35</v>
      </c>
      <c r="C50">
        <v>48</v>
      </c>
      <c r="D50">
        <f t="shared" si="1"/>
        <v>2304</v>
      </c>
      <c r="E50">
        <f t="shared" si="2"/>
        <v>7.4940686368780716</v>
      </c>
      <c r="F50" s="21">
        <f t="shared" si="3"/>
        <v>12</v>
      </c>
      <c r="G50">
        <f t="shared" si="5"/>
        <v>0</v>
      </c>
      <c r="H50">
        <f t="shared" si="5"/>
        <v>0</v>
      </c>
      <c r="I50">
        <f t="shared" si="5"/>
        <v>0</v>
      </c>
      <c r="J50">
        <f t="shared" si="5"/>
        <v>0</v>
      </c>
      <c r="K50">
        <f t="shared" si="5"/>
        <v>0</v>
      </c>
      <c r="L50">
        <f t="shared" si="5"/>
        <v>0</v>
      </c>
      <c r="M50">
        <f t="shared" si="5"/>
        <v>0</v>
      </c>
      <c r="N50">
        <f t="shared" si="5"/>
        <v>0</v>
      </c>
      <c r="O50">
        <f t="shared" si="5"/>
        <v>0</v>
      </c>
      <c r="P50">
        <f t="shared" si="5"/>
        <v>0</v>
      </c>
      <c r="Q50">
        <f t="shared" si="5"/>
        <v>0</v>
      </c>
      <c r="R50">
        <f t="shared" si="5"/>
        <v>1</v>
      </c>
      <c r="S50" t="e">
        <f>#REF!</f>
        <v>#REF!</v>
      </c>
      <c r="T50" t="e">
        <f>#REF!</f>
        <v>#REF!</v>
      </c>
      <c r="U50" t="e">
        <f>#REF!</f>
        <v>#REF!</v>
      </c>
      <c r="V50" t="e">
        <f>#REF!</f>
        <v>#REF!</v>
      </c>
    </row>
    <row r="51" spans="1:22" x14ac:dyDescent="0.35">
      <c r="A51" s="3">
        <v>34700</v>
      </c>
      <c r="B51" s="4">
        <v>1560.415</v>
      </c>
      <c r="C51">
        <v>49</v>
      </c>
      <c r="D51">
        <f t="shared" si="1"/>
        <v>2401</v>
      </c>
      <c r="E51">
        <f t="shared" si="2"/>
        <v>7.3527070905060619</v>
      </c>
      <c r="F51" s="21">
        <f t="shared" si="3"/>
        <v>1</v>
      </c>
      <c r="G51">
        <f t="shared" si="5"/>
        <v>1</v>
      </c>
      <c r="H51">
        <f t="shared" si="5"/>
        <v>0</v>
      </c>
      <c r="I51">
        <f t="shared" si="5"/>
        <v>0</v>
      </c>
      <c r="J51">
        <f t="shared" si="5"/>
        <v>0</v>
      </c>
      <c r="K51">
        <f t="shared" si="5"/>
        <v>0</v>
      </c>
      <c r="L51">
        <f t="shared" si="5"/>
        <v>0</v>
      </c>
      <c r="M51">
        <f t="shared" si="5"/>
        <v>0</v>
      </c>
      <c r="N51">
        <f t="shared" si="5"/>
        <v>0</v>
      </c>
      <c r="O51">
        <f t="shared" si="5"/>
        <v>0</v>
      </c>
      <c r="P51">
        <f t="shared" si="5"/>
        <v>0</v>
      </c>
      <c r="Q51">
        <f t="shared" si="5"/>
        <v>0</v>
      </c>
      <c r="R51">
        <f t="shared" si="5"/>
        <v>0</v>
      </c>
      <c r="S51" t="e">
        <f>#REF!</f>
        <v>#REF!</v>
      </c>
      <c r="T51" t="e">
        <f>#REF!</f>
        <v>#REF!</v>
      </c>
      <c r="U51" t="e">
        <f>#REF!</f>
        <v>#REF!</v>
      </c>
      <c r="V51" t="e">
        <f>#REF!</f>
        <v>#REF!</v>
      </c>
    </row>
    <row r="52" spans="1:22" x14ac:dyDescent="0.35">
      <c r="A52" s="3">
        <v>34731</v>
      </c>
      <c r="B52" s="4">
        <v>1509.925</v>
      </c>
      <c r="C52">
        <v>50</v>
      </c>
      <c r="D52">
        <f t="shared" si="1"/>
        <v>2500</v>
      </c>
      <c r="E52">
        <f t="shared" si="2"/>
        <v>7.319815259701258</v>
      </c>
      <c r="F52" s="21">
        <f t="shared" si="3"/>
        <v>2</v>
      </c>
      <c r="G52">
        <f t="shared" si="5"/>
        <v>0</v>
      </c>
      <c r="H52">
        <f t="shared" si="5"/>
        <v>1</v>
      </c>
      <c r="I52">
        <f t="shared" si="5"/>
        <v>0</v>
      </c>
      <c r="J52">
        <f t="shared" si="5"/>
        <v>0</v>
      </c>
      <c r="K52">
        <f t="shared" si="5"/>
        <v>0</v>
      </c>
      <c r="L52">
        <f t="shared" si="5"/>
        <v>0</v>
      </c>
      <c r="M52">
        <f t="shared" si="5"/>
        <v>0</v>
      </c>
      <c r="N52">
        <f t="shared" si="5"/>
        <v>0</v>
      </c>
      <c r="O52">
        <f t="shared" si="5"/>
        <v>0</v>
      </c>
      <c r="P52">
        <f t="shared" si="5"/>
        <v>0</v>
      </c>
      <c r="Q52">
        <f t="shared" si="5"/>
        <v>0</v>
      </c>
      <c r="R52">
        <f t="shared" si="5"/>
        <v>0</v>
      </c>
      <c r="S52" t="e">
        <f>#REF!</f>
        <v>#REF!</v>
      </c>
      <c r="T52" t="e">
        <f>#REF!</f>
        <v>#REF!</v>
      </c>
      <c r="U52" t="e">
        <f>#REF!</f>
        <v>#REF!</v>
      </c>
      <c r="V52" t="e">
        <f>#REF!</f>
        <v>#REF!</v>
      </c>
    </row>
    <row r="53" spans="1:22" x14ac:dyDescent="0.35">
      <c r="A53" s="3">
        <v>34759</v>
      </c>
      <c r="B53" s="4">
        <v>1813.316</v>
      </c>
      <c r="C53">
        <v>51</v>
      </c>
      <c r="D53">
        <f t="shared" si="1"/>
        <v>2601</v>
      </c>
      <c r="E53">
        <f t="shared" si="2"/>
        <v>7.5029124923126638</v>
      </c>
      <c r="F53" s="21">
        <f t="shared" si="3"/>
        <v>3</v>
      </c>
      <c r="G53">
        <f t="shared" si="5"/>
        <v>0</v>
      </c>
      <c r="H53">
        <f t="shared" si="5"/>
        <v>0</v>
      </c>
      <c r="I53">
        <f t="shared" si="5"/>
        <v>1</v>
      </c>
      <c r="J53">
        <f t="shared" si="5"/>
        <v>0</v>
      </c>
      <c r="K53">
        <f t="shared" si="5"/>
        <v>0</v>
      </c>
      <c r="L53">
        <f t="shared" si="5"/>
        <v>0</v>
      </c>
      <c r="M53">
        <f t="shared" si="5"/>
        <v>0</v>
      </c>
      <c r="N53">
        <f t="shared" si="5"/>
        <v>0</v>
      </c>
      <c r="O53">
        <f t="shared" si="5"/>
        <v>0</v>
      </c>
      <c r="P53">
        <f t="shared" si="5"/>
        <v>0</v>
      </c>
      <c r="Q53">
        <f t="shared" si="5"/>
        <v>0</v>
      </c>
      <c r="R53">
        <f t="shared" si="5"/>
        <v>0</v>
      </c>
      <c r="S53" t="e">
        <f>#REF!</f>
        <v>#REF!</v>
      </c>
      <c r="T53" t="e">
        <f>#REF!</f>
        <v>#REF!</v>
      </c>
      <c r="U53" t="e">
        <f>#REF!</f>
        <v>#REF!</v>
      </c>
      <c r="V53" t="e">
        <f>#REF!</f>
        <v>#REF!</v>
      </c>
    </row>
    <row r="54" spans="1:22" x14ac:dyDescent="0.35">
      <c r="A54" s="3">
        <v>34790</v>
      </c>
      <c r="B54" s="4">
        <v>1746.895</v>
      </c>
      <c r="C54">
        <v>52</v>
      </c>
      <c r="D54">
        <f t="shared" si="1"/>
        <v>2704</v>
      </c>
      <c r="E54">
        <f t="shared" si="2"/>
        <v>7.4655952052940249</v>
      </c>
      <c r="F54" s="21">
        <f t="shared" si="3"/>
        <v>4</v>
      </c>
      <c r="G54">
        <f t="shared" si="5"/>
        <v>0</v>
      </c>
      <c r="H54">
        <f t="shared" si="5"/>
        <v>0</v>
      </c>
      <c r="I54">
        <f t="shared" si="5"/>
        <v>0</v>
      </c>
      <c r="J54">
        <f t="shared" si="5"/>
        <v>1</v>
      </c>
      <c r="K54">
        <f t="shared" si="5"/>
        <v>0</v>
      </c>
      <c r="L54">
        <f t="shared" si="5"/>
        <v>0</v>
      </c>
      <c r="M54">
        <f t="shared" si="5"/>
        <v>0</v>
      </c>
      <c r="N54">
        <f t="shared" si="5"/>
        <v>0</v>
      </c>
      <c r="O54">
        <f t="shared" si="5"/>
        <v>0</v>
      </c>
      <c r="P54">
        <f t="shared" si="5"/>
        <v>0</v>
      </c>
      <c r="Q54">
        <f t="shared" si="5"/>
        <v>0</v>
      </c>
      <c r="R54">
        <f t="shared" si="5"/>
        <v>0</v>
      </c>
      <c r="S54" t="e">
        <f>#REF!</f>
        <v>#REF!</v>
      </c>
      <c r="T54" t="e">
        <f>#REF!</f>
        <v>#REF!</v>
      </c>
      <c r="U54" t="e">
        <f>#REF!</f>
        <v>#REF!</v>
      </c>
      <c r="V54" t="e">
        <f>#REF!</f>
        <v>#REF!</v>
      </c>
    </row>
    <row r="55" spans="1:22" x14ac:dyDescent="0.35">
      <c r="A55" s="3">
        <v>34820</v>
      </c>
      <c r="B55" s="4">
        <v>1785.345</v>
      </c>
      <c r="C55">
        <v>53</v>
      </c>
      <c r="D55">
        <f t="shared" si="1"/>
        <v>2809</v>
      </c>
      <c r="E55">
        <f t="shared" si="2"/>
        <v>7.487366952849011</v>
      </c>
      <c r="F55" s="21">
        <f t="shared" si="3"/>
        <v>5</v>
      </c>
      <c r="G55">
        <f t="shared" si="5"/>
        <v>0</v>
      </c>
      <c r="H55">
        <f t="shared" si="5"/>
        <v>0</v>
      </c>
      <c r="I55">
        <f t="shared" si="5"/>
        <v>0</v>
      </c>
      <c r="J55">
        <f t="shared" si="5"/>
        <v>0</v>
      </c>
      <c r="K55">
        <f t="shared" si="5"/>
        <v>1</v>
      </c>
      <c r="L55">
        <f t="shared" si="5"/>
        <v>0</v>
      </c>
      <c r="M55">
        <f t="shared" si="5"/>
        <v>0</v>
      </c>
      <c r="N55">
        <f t="shared" si="5"/>
        <v>0</v>
      </c>
      <c r="O55">
        <f t="shared" si="5"/>
        <v>0</v>
      </c>
      <c r="P55">
        <f t="shared" si="5"/>
        <v>0</v>
      </c>
      <c r="Q55">
        <f t="shared" si="5"/>
        <v>0</v>
      </c>
      <c r="R55">
        <f t="shared" si="5"/>
        <v>0</v>
      </c>
      <c r="S55" t="e">
        <f>#REF!</f>
        <v>#REF!</v>
      </c>
      <c r="T55" t="e">
        <f>#REF!</f>
        <v>#REF!</v>
      </c>
      <c r="U55" t="e">
        <f>#REF!</f>
        <v>#REF!</v>
      </c>
      <c r="V55" t="e">
        <f>#REF!</f>
        <v>#REF!</v>
      </c>
    </row>
    <row r="56" spans="1:22" x14ac:dyDescent="0.35">
      <c r="A56" s="3">
        <v>34851</v>
      </c>
      <c r="B56" s="4">
        <v>1777.2070000000001</v>
      </c>
      <c r="C56">
        <v>54</v>
      </c>
      <c r="D56">
        <f t="shared" si="1"/>
        <v>2916</v>
      </c>
      <c r="E56">
        <f t="shared" si="2"/>
        <v>7.4827983098341004</v>
      </c>
      <c r="F56" s="21">
        <f t="shared" si="3"/>
        <v>6</v>
      </c>
      <c r="G56">
        <f t="shared" si="5"/>
        <v>0</v>
      </c>
      <c r="H56">
        <f t="shared" si="5"/>
        <v>0</v>
      </c>
      <c r="I56">
        <f t="shared" si="5"/>
        <v>0</v>
      </c>
      <c r="J56">
        <f t="shared" si="5"/>
        <v>0</v>
      </c>
      <c r="K56">
        <f t="shared" si="5"/>
        <v>0</v>
      </c>
      <c r="L56">
        <f t="shared" si="5"/>
        <v>1</v>
      </c>
      <c r="M56">
        <f t="shared" si="5"/>
        <v>0</v>
      </c>
      <c r="N56">
        <f t="shared" si="5"/>
        <v>0</v>
      </c>
      <c r="O56">
        <f t="shared" si="5"/>
        <v>0</v>
      </c>
      <c r="P56">
        <f t="shared" si="5"/>
        <v>0</v>
      </c>
      <c r="Q56">
        <f t="shared" si="5"/>
        <v>0</v>
      </c>
      <c r="R56">
        <f t="shared" si="5"/>
        <v>0</v>
      </c>
      <c r="S56" t="e">
        <f>#REF!</f>
        <v>#REF!</v>
      </c>
      <c r="T56" t="e">
        <f>#REF!</f>
        <v>#REF!</v>
      </c>
      <c r="U56" t="e">
        <f>#REF!</f>
        <v>#REF!</v>
      </c>
      <c r="V56" t="e">
        <f>#REF!</f>
        <v>#REF!</v>
      </c>
    </row>
    <row r="57" spans="1:22" x14ac:dyDescent="0.35">
      <c r="A57" s="3">
        <v>34881</v>
      </c>
      <c r="B57" s="4">
        <v>1804.655</v>
      </c>
      <c r="C57">
        <v>55</v>
      </c>
      <c r="D57">
        <f t="shared" si="1"/>
        <v>3025</v>
      </c>
      <c r="E57">
        <f t="shared" si="2"/>
        <v>7.4981247167641465</v>
      </c>
      <c r="F57" s="21">
        <f t="shared" si="3"/>
        <v>7</v>
      </c>
      <c r="G57">
        <f t="shared" si="5"/>
        <v>0</v>
      </c>
      <c r="H57">
        <f t="shared" si="5"/>
        <v>0</v>
      </c>
      <c r="I57">
        <f t="shared" si="5"/>
        <v>0</v>
      </c>
      <c r="J57">
        <f t="shared" ref="H57:R80" si="6">IF($F57=J$1,1,0)</f>
        <v>0</v>
      </c>
      <c r="K57">
        <f t="shared" si="6"/>
        <v>0</v>
      </c>
      <c r="L57">
        <f t="shared" si="6"/>
        <v>0</v>
      </c>
      <c r="M57">
        <f t="shared" si="6"/>
        <v>1</v>
      </c>
      <c r="N57">
        <f t="shared" si="6"/>
        <v>0</v>
      </c>
      <c r="O57">
        <f t="shared" si="6"/>
        <v>0</v>
      </c>
      <c r="P57">
        <f t="shared" si="6"/>
        <v>0</v>
      </c>
      <c r="Q57">
        <f t="shared" si="6"/>
        <v>0</v>
      </c>
      <c r="R57">
        <f t="shared" si="6"/>
        <v>0</v>
      </c>
      <c r="S57" t="e">
        <f>#REF!</f>
        <v>#REF!</v>
      </c>
      <c r="T57" t="e">
        <f>#REF!</f>
        <v>#REF!</v>
      </c>
      <c r="U57" t="e">
        <f>#REF!</f>
        <v>#REF!</v>
      </c>
      <c r="V57" t="e">
        <f>#REF!</f>
        <v>#REF!</v>
      </c>
    </row>
    <row r="58" spans="1:22" x14ac:dyDescent="0.35">
      <c r="A58" s="3">
        <v>34912</v>
      </c>
      <c r="B58" s="4">
        <v>1886.82</v>
      </c>
      <c r="C58">
        <v>56</v>
      </c>
      <c r="D58">
        <f t="shared" si="1"/>
        <v>3136</v>
      </c>
      <c r="E58">
        <f t="shared" si="2"/>
        <v>7.5426481513115275</v>
      </c>
      <c r="F58" s="21">
        <f t="shared" si="3"/>
        <v>8</v>
      </c>
      <c r="G58">
        <f t="shared" ref="G58:G121" si="7">IF($F58=G$1,1,0)</f>
        <v>0</v>
      </c>
      <c r="H58">
        <f t="shared" si="6"/>
        <v>0</v>
      </c>
      <c r="I58">
        <f t="shared" si="6"/>
        <v>0</v>
      </c>
      <c r="J58">
        <f t="shared" si="6"/>
        <v>0</v>
      </c>
      <c r="K58">
        <f t="shared" si="6"/>
        <v>0</v>
      </c>
      <c r="L58">
        <f t="shared" si="6"/>
        <v>0</v>
      </c>
      <c r="M58">
        <f t="shared" si="6"/>
        <v>0</v>
      </c>
      <c r="N58">
        <f t="shared" si="6"/>
        <v>1</v>
      </c>
      <c r="O58">
        <f t="shared" si="6"/>
        <v>0</v>
      </c>
      <c r="P58">
        <f t="shared" si="6"/>
        <v>0</v>
      </c>
      <c r="Q58">
        <f t="shared" si="6"/>
        <v>0</v>
      </c>
      <c r="R58">
        <f t="shared" si="6"/>
        <v>0</v>
      </c>
      <c r="S58" t="e">
        <f>#REF!</f>
        <v>#REF!</v>
      </c>
      <c r="T58" t="e">
        <f>#REF!</f>
        <v>#REF!</v>
      </c>
      <c r="U58" t="e">
        <f>#REF!</f>
        <v>#REF!</v>
      </c>
      <c r="V58" t="e">
        <f>#REF!</f>
        <v>#REF!</v>
      </c>
    </row>
    <row r="59" spans="1:22" x14ac:dyDescent="0.35">
      <c r="A59" s="3">
        <v>34943</v>
      </c>
      <c r="B59" s="4">
        <v>1583.309</v>
      </c>
      <c r="C59">
        <v>57</v>
      </c>
      <c r="D59">
        <f t="shared" si="1"/>
        <v>3249</v>
      </c>
      <c r="E59">
        <f t="shared" si="2"/>
        <v>7.3672722398214292</v>
      </c>
      <c r="F59" s="21">
        <f t="shared" si="3"/>
        <v>9</v>
      </c>
      <c r="G59">
        <f t="shared" si="7"/>
        <v>0</v>
      </c>
      <c r="H59">
        <f t="shared" si="6"/>
        <v>0</v>
      </c>
      <c r="I59">
        <f t="shared" si="6"/>
        <v>0</v>
      </c>
      <c r="J59">
        <f t="shared" si="6"/>
        <v>0</v>
      </c>
      <c r="K59">
        <f t="shared" si="6"/>
        <v>0</v>
      </c>
      <c r="L59">
        <f t="shared" si="6"/>
        <v>0</v>
      </c>
      <c r="M59">
        <f t="shared" si="6"/>
        <v>0</v>
      </c>
      <c r="N59">
        <f t="shared" si="6"/>
        <v>0</v>
      </c>
      <c r="O59">
        <f t="shared" si="6"/>
        <v>1</v>
      </c>
      <c r="P59">
        <f t="shared" si="6"/>
        <v>0</v>
      </c>
      <c r="Q59">
        <f t="shared" si="6"/>
        <v>0</v>
      </c>
      <c r="R59">
        <f t="shared" si="6"/>
        <v>0</v>
      </c>
      <c r="S59" t="e">
        <f>#REF!</f>
        <v>#REF!</v>
      </c>
      <c r="T59" t="e">
        <f>#REF!</f>
        <v>#REF!</v>
      </c>
      <c r="U59" t="e">
        <f>#REF!</f>
        <v>#REF!</v>
      </c>
      <c r="V59" t="e">
        <f>#REF!</f>
        <v>#REF!</v>
      </c>
    </row>
    <row r="60" spans="1:22" x14ac:dyDescent="0.35">
      <c r="A60" s="3">
        <v>34973</v>
      </c>
      <c r="B60" s="4">
        <v>1663.9480000000001</v>
      </c>
      <c r="C60">
        <v>58</v>
      </c>
      <c r="D60">
        <f t="shared" si="1"/>
        <v>3364</v>
      </c>
      <c r="E60">
        <f t="shared" si="2"/>
        <v>7.4169483708928627</v>
      </c>
      <c r="F60" s="21">
        <f t="shared" si="3"/>
        <v>10</v>
      </c>
      <c r="G60">
        <f t="shared" si="7"/>
        <v>0</v>
      </c>
      <c r="H60">
        <f t="shared" si="6"/>
        <v>0</v>
      </c>
      <c r="I60">
        <f t="shared" si="6"/>
        <v>0</v>
      </c>
      <c r="J60">
        <f t="shared" si="6"/>
        <v>0</v>
      </c>
      <c r="K60">
        <f t="shared" si="6"/>
        <v>0</v>
      </c>
      <c r="L60">
        <f t="shared" si="6"/>
        <v>0</v>
      </c>
      <c r="M60">
        <f t="shared" si="6"/>
        <v>0</v>
      </c>
      <c r="N60">
        <f t="shared" si="6"/>
        <v>0</v>
      </c>
      <c r="O60">
        <f t="shared" si="6"/>
        <v>0</v>
      </c>
      <c r="P60">
        <f t="shared" si="6"/>
        <v>1</v>
      </c>
      <c r="Q60">
        <f t="shared" si="6"/>
        <v>0</v>
      </c>
      <c r="R60">
        <f t="shared" si="6"/>
        <v>0</v>
      </c>
      <c r="S60" t="e">
        <f>#REF!</f>
        <v>#REF!</v>
      </c>
      <c r="T60" t="e">
        <f>#REF!</f>
        <v>#REF!</v>
      </c>
      <c r="U60" t="e">
        <f>#REF!</f>
        <v>#REF!</v>
      </c>
      <c r="V60" t="e">
        <f>#REF!</f>
        <v>#REF!</v>
      </c>
    </row>
    <row r="61" spans="1:22" x14ac:dyDescent="0.35">
      <c r="A61" s="3">
        <v>35004</v>
      </c>
      <c r="B61" s="4">
        <v>1687.6310000000001</v>
      </c>
      <c r="C61">
        <v>59</v>
      </c>
      <c r="D61">
        <f t="shared" si="1"/>
        <v>3481</v>
      </c>
      <c r="E61">
        <f t="shared" si="2"/>
        <v>7.4310810493632911</v>
      </c>
      <c r="F61" s="21">
        <f t="shared" si="3"/>
        <v>11</v>
      </c>
      <c r="G61">
        <f t="shared" si="7"/>
        <v>0</v>
      </c>
      <c r="H61">
        <f t="shared" si="6"/>
        <v>0</v>
      </c>
      <c r="I61">
        <f t="shared" si="6"/>
        <v>0</v>
      </c>
      <c r="J61">
        <f t="shared" si="6"/>
        <v>0</v>
      </c>
      <c r="K61">
        <f t="shared" si="6"/>
        <v>0</v>
      </c>
      <c r="L61">
        <f t="shared" si="6"/>
        <v>0</v>
      </c>
      <c r="M61">
        <f t="shared" si="6"/>
        <v>0</v>
      </c>
      <c r="N61">
        <f t="shared" si="6"/>
        <v>0</v>
      </c>
      <c r="O61">
        <f t="shared" si="6"/>
        <v>0</v>
      </c>
      <c r="P61">
        <f t="shared" si="6"/>
        <v>0</v>
      </c>
      <c r="Q61">
        <f t="shared" si="6"/>
        <v>1</v>
      </c>
      <c r="R61">
        <f t="shared" si="6"/>
        <v>0</v>
      </c>
      <c r="S61" t="e">
        <f>#REF!</f>
        <v>#REF!</v>
      </c>
      <c r="T61" t="e">
        <f>#REF!</f>
        <v>#REF!</v>
      </c>
      <c r="U61" t="e">
        <f>#REF!</f>
        <v>#REF!</v>
      </c>
      <c r="V61" t="e">
        <f>#REF!</f>
        <v>#REF!</v>
      </c>
    </row>
    <row r="62" spans="1:22" x14ac:dyDescent="0.35">
      <c r="A62" s="3">
        <v>35034</v>
      </c>
      <c r="B62" s="4">
        <v>1670.845</v>
      </c>
      <c r="C62">
        <v>60</v>
      </c>
      <c r="D62">
        <f t="shared" si="1"/>
        <v>3600</v>
      </c>
      <c r="E62">
        <f t="shared" si="2"/>
        <v>7.4210847654659782</v>
      </c>
      <c r="F62" s="21">
        <f t="shared" si="3"/>
        <v>12</v>
      </c>
      <c r="G62">
        <f t="shared" si="7"/>
        <v>0</v>
      </c>
      <c r="H62">
        <f t="shared" si="6"/>
        <v>0</v>
      </c>
      <c r="I62">
        <f t="shared" si="6"/>
        <v>0</v>
      </c>
      <c r="J62">
        <f t="shared" si="6"/>
        <v>0</v>
      </c>
      <c r="K62">
        <f t="shared" si="6"/>
        <v>0</v>
      </c>
      <c r="L62">
        <f t="shared" si="6"/>
        <v>0</v>
      </c>
      <c r="M62">
        <f t="shared" si="6"/>
        <v>0</v>
      </c>
      <c r="N62">
        <f t="shared" si="6"/>
        <v>0</v>
      </c>
      <c r="O62">
        <f t="shared" si="6"/>
        <v>0</v>
      </c>
      <c r="P62">
        <f t="shared" si="6"/>
        <v>0</v>
      </c>
      <c r="Q62">
        <f t="shared" si="6"/>
        <v>0</v>
      </c>
      <c r="R62">
        <f t="shared" si="6"/>
        <v>1</v>
      </c>
      <c r="S62" t="e">
        <f>#REF!</f>
        <v>#REF!</v>
      </c>
      <c r="T62" t="e">
        <f>#REF!</f>
        <v>#REF!</v>
      </c>
      <c r="U62" t="e">
        <f>#REF!</f>
        <v>#REF!</v>
      </c>
      <c r="V62" t="e">
        <f>#REF!</f>
        <v>#REF!</v>
      </c>
    </row>
    <row r="63" spans="1:22" x14ac:dyDescent="0.35">
      <c r="A63" s="3">
        <v>35065</v>
      </c>
      <c r="B63" s="4">
        <v>1398.758</v>
      </c>
      <c r="C63">
        <v>61</v>
      </c>
      <c r="D63">
        <f t="shared" si="1"/>
        <v>3721</v>
      </c>
      <c r="E63">
        <f t="shared" si="2"/>
        <v>7.2433399790020943</v>
      </c>
      <c r="F63" s="21">
        <f t="shared" si="3"/>
        <v>1</v>
      </c>
      <c r="G63">
        <f t="shared" si="7"/>
        <v>1</v>
      </c>
      <c r="H63">
        <f t="shared" si="6"/>
        <v>0</v>
      </c>
      <c r="I63">
        <f t="shared" si="6"/>
        <v>0</v>
      </c>
      <c r="J63">
        <f t="shared" si="6"/>
        <v>0</v>
      </c>
      <c r="K63">
        <f t="shared" si="6"/>
        <v>0</v>
      </c>
      <c r="L63">
        <f t="shared" si="6"/>
        <v>0</v>
      </c>
      <c r="M63">
        <f t="shared" si="6"/>
        <v>0</v>
      </c>
      <c r="N63">
        <f t="shared" si="6"/>
        <v>0</v>
      </c>
      <c r="O63">
        <f t="shared" si="6"/>
        <v>0</v>
      </c>
      <c r="P63">
        <f t="shared" si="6"/>
        <v>0</v>
      </c>
      <c r="Q63">
        <f t="shared" si="6"/>
        <v>0</v>
      </c>
      <c r="R63">
        <f t="shared" si="6"/>
        <v>0</v>
      </c>
      <c r="S63" t="e">
        <f>#REF!</f>
        <v>#REF!</v>
      </c>
      <c r="T63" t="e">
        <f>#REF!</f>
        <v>#REF!</v>
      </c>
      <c r="U63" t="e">
        <f>#REF!</f>
        <v>#REF!</v>
      </c>
      <c r="V63" t="e">
        <f>#REF!</f>
        <v>#REF!</v>
      </c>
    </row>
    <row r="64" spans="1:22" x14ac:dyDescent="0.35">
      <c r="A64" s="3">
        <v>35096</v>
      </c>
      <c r="B64" s="4">
        <v>1375.8520000000001</v>
      </c>
      <c r="C64">
        <v>62</v>
      </c>
      <c r="D64">
        <f t="shared" si="1"/>
        <v>3844</v>
      </c>
      <c r="E64">
        <f t="shared" si="2"/>
        <v>7.2268284545689623</v>
      </c>
      <c r="F64" s="21">
        <f t="shared" si="3"/>
        <v>2</v>
      </c>
      <c r="G64">
        <f t="shared" si="7"/>
        <v>0</v>
      </c>
      <c r="H64">
        <f t="shared" si="6"/>
        <v>1</v>
      </c>
      <c r="I64">
        <f t="shared" si="6"/>
        <v>0</v>
      </c>
      <c r="J64">
        <f t="shared" si="6"/>
        <v>0</v>
      </c>
      <c r="K64">
        <f t="shared" si="6"/>
        <v>0</v>
      </c>
      <c r="L64">
        <f t="shared" si="6"/>
        <v>0</v>
      </c>
      <c r="M64">
        <f t="shared" si="6"/>
        <v>0</v>
      </c>
      <c r="N64">
        <f t="shared" si="6"/>
        <v>0</v>
      </c>
      <c r="O64">
        <f t="shared" si="6"/>
        <v>0</v>
      </c>
      <c r="P64">
        <f t="shared" si="6"/>
        <v>0</v>
      </c>
      <c r="Q64">
        <f t="shared" si="6"/>
        <v>0</v>
      </c>
      <c r="R64">
        <f t="shared" si="6"/>
        <v>0</v>
      </c>
      <c r="S64" t="e">
        <f>#REF!</f>
        <v>#REF!</v>
      </c>
      <c r="T64" t="e">
        <f>#REF!</f>
        <v>#REF!</v>
      </c>
      <c r="U64" t="e">
        <f>#REF!</f>
        <v>#REF!</v>
      </c>
      <c r="V64" t="e">
        <f>#REF!</f>
        <v>#REF!</v>
      </c>
    </row>
    <row r="65" spans="1:22" x14ac:dyDescent="0.35">
      <c r="A65" s="3">
        <v>35125</v>
      </c>
      <c r="B65" s="4">
        <v>1572.575</v>
      </c>
      <c r="C65">
        <v>63</v>
      </c>
      <c r="D65">
        <f t="shared" si="1"/>
        <v>3969</v>
      </c>
      <c r="E65">
        <f t="shared" si="2"/>
        <v>7.3604696821908142</v>
      </c>
      <c r="F65" s="21">
        <f t="shared" si="3"/>
        <v>3</v>
      </c>
      <c r="G65">
        <f t="shared" si="7"/>
        <v>0</v>
      </c>
      <c r="H65">
        <f t="shared" si="6"/>
        <v>0</v>
      </c>
      <c r="I65">
        <f t="shared" si="6"/>
        <v>1</v>
      </c>
      <c r="J65">
        <f t="shared" si="6"/>
        <v>0</v>
      </c>
      <c r="K65">
        <f t="shared" si="6"/>
        <v>0</v>
      </c>
      <c r="L65">
        <f t="shared" si="6"/>
        <v>0</v>
      </c>
      <c r="M65">
        <f t="shared" si="6"/>
        <v>0</v>
      </c>
      <c r="N65">
        <f t="shared" si="6"/>
        <v>0</v>
      </c>
      <c r="O65">
        <f t="shared" si="6"/>
        <v>0</v>
      </c>
      <c r="P65">
        <f t="shared" si="6"/>
        <v>0</v>
      </c>
      <c r="Q65">
        <f t="shared" si="6"/>
        <v>0</v>
      </c>
      <c r="R65">
        <f t="shared" si="6"/>
        <v>0</v>
      </c>
      <c r="S65" t="e">
        <f>#REF!</f>
        <v>#REF!</v>
      </c>
      <c r="T65" t="e">
        <f>#REF!</f>
        <v>#REF!</v>
      </c>
      <c r="U65" t="e">
        <f>#REF!</f>
        <v>#REF!</v>
      </c>
      <c r="V65" t="e">
        <f>#REF!</f>
        <v>#REF!</v>
      </c>
    </row>
    <row r="66" spans="1:22" x14ac:dyDescent="0.35">
      <c r="A66" s="3">
        <v>35156</v>
      </c>
      <c r="B66" s="4">
        <v>1620.42</v>
      </c>
      <c r="C66">
        <v>64</v>
      </c>
      <c r="D66">
        <f t="shared" si="1"/>
        <v>4096</v>
      </c>
      <c r="E66">
        <f t="shared" si="2"/>
        <v>7.3904406538838145</v>
      </c>
      <c r="F66" s="21">
        <f t="shared" si="3"/>
        <v>4</v>
      </c>
      <c r="G66">
        <f t="shared" si="7"/>
        <v>0</v>
      </c>
      <c r="H66">
        <f t="shared" si="6"/>
        <v>0</v>
      </c>
      <c r="I66">
        <f t="shared" si="6"/>
        <v>0</v>
      </c>
      <c r="J66">
        <f t="shared" si="6"/>
        <v>1</v>
      </c>
      <c r="K66">
        <f t="shared" si="6"/>
        <v>0</v>
      </c>
      <c r="L66">
        <f t="shared" si="6"/>
        <v>0</v>
      </c>
      <c r="M66">
        <f t="shared" si="6"/>
        <v>0</v>
      </c>
      <c r="N66">
        <f t="shared" si="6"/>
        <v>0</v>
      </c>
      <c r="O66">
        <f t="shared" si="6"/>
        <v>0</v>
      </c>
      <c r="P66">
        <f t="shared" si="6"/>
        <v>0</v>
      </c>
      <c r="Q66">
        <f t="shared" si="6"/>
        <v>0</v>
      </c>
      <c r="R66">
        <f t="shared" si="6"/>
        <v>0</v>
      </c>
      <c r="S66" t="e">
        <f>#REF!</f>
        <v>#REF!</v>
      </c>
      <c r="T66" t="e">
        <f>#REF!</f>
        <v>#REF!</v>
      </c>
      <c r="U66" t="e">
        <f>#REF!</f>
        <v>#REF!</v>
      </c>
      <c r="V66" t="e">
        <f>#REF!</f>
        <v>#REF!</v>
      </c>
    </row>
    <row r="67" spans="1:22" x14ac:dyDescent="0.35">
      <c r="A67" s="3">
        <v>35186</v>
      </c>
      <c r="B67" s="4">
        <v>1709.6959999999999</v>
      </c>
      <c r="C67">
        <v>65</v>
      </c>
      <c r="D67">
        <f t="shared" si="1"/>
        <v>4225</v>
      </c>
      <c r="E67">
        <f t="shared" si="2"/>
        <v>7.4440708559145854</v>
      </c>
      <c r="F67" s="21">
        <f t="shared" si="3"/>
        <v>5</v>
      </c>
      <c r="G67">
        <f t="shared" si="7"/>
        <v>0</v>
      </c>
      <c r="H67">
        <f t="shared" si="6"/>
        <v>0</v>
      </c>
      <c r="I67">
        <f t="shared" si="6"/>
        <v>0</v>
      </c>
      <c r="J67">
        <f t="shared" si="6"/>
        <v>0</v>
      </c>
      <c r="K67">
        <f t="shared" si="6"/>
        <v>1</v>
      </c>
      <c r="L67">
        <f t="shared" si="6"/>
        <v>0</v>
      </c>
      <c r="M67">
        <f t="shared" si="6"/>
        <v>0</v>
      </c>
      <c r="N67">
        <f t="shared" si="6"/>
        <v>0</v>
      </c>
      <c r="O67">
        <f t="shared" si="6"/>
        <v>0</v>
      </c>
      <c r="P67">
        <f t="shared" si="6"/>
        <v>0</v>
      </c>
      <c r="Q67">
        <f t="shared" si="6"/>
        <v>0</v>
      </c>
      <c r="R67">
        <f t="shared" si="6"/>
        <v>0</v>
      </c>
      <c r="S67" t="e">
        <f>#REF!</f>
        <v>#REF!</v>
      </c>
      <c r="T67" t="e">
        <f>#REF!</f>
        <v>#REF!</v>
      </c>
      <c r="U67" t="e">
        <f>#REF!</f>
        <v>#REF!</v>
      </c>
      <c r="V67" t="e">
        <f>#REF!</f>
        <v>#REF!</v>
      </c>
    </row>
    <row r="68" spans="1:22" x14ac:dyDescent="0.35">
      <c r="A68" s="3">
        <v>35217</v>
      </c>
      <c r="B68" s="4">
        <v>1709.183</v>
      </c>
      <c r="C68">
        <v>66</v>
      </c>
      <c r="D68">
        <f t="shared" ref="D68:D131" si="8">C68*C68</f>
        <v>4356</v>
      </c>
      <c r="E68">
        <f t="shared" ref="E68:E131" si="9">LN(B68)</f>
        <v>7.4437707575467575</v>
      </c>
      <c r="F68" s="21">
        <f t="shared" ref="F68:F131" si="10">MONTH(A68)</f>
        <v>6</v>
      </c>
      <c r="G68">
        <f t="shared" si="7"/>
        <v>0</v>
      </c>
      <c r="H68">
        <f t="shared" si="6"/>
        <v>0</v>
      </c>
      <c r="I68">
        <f t="shared" si="6"/>
        <v>0</v>
      </c>
      <c r="J68">
        <f t="shared" si="6"/>
        <v>0</v>
      </c>
      <c r="K68">
        <f t="shared" si="6"/>
        <v>0</v>
      </c>
      <c r="L68">
        <f t="shared" si="6"/>
        <v>1</v>
      </c>
      <c r="M68">
        <f t="shared" si="6"/>
        <v>0</v>
      </c>
      <c r="N68">
        <f t="shared" si="6"/>
        <v>0</v>
      </c>
      <c r="O68">
        <f t="shared" si="6"/>
        <v>0</v>
      </c>
      <c r="P68">
        <f t="shared" si="6"/>
        <v>0</v>
      </c>
      <c r="Q68">
        <f t="shared" si="6"/>
        <v>0</v>
      </c>
      <c r="R68">
        <f t="shared" si="6"/>
        <v>0</v>
      </c>
      <c r="S68" t="e">
        <f>#REF!</f>
        <v>#REF!</v>
      </c>
      <c r="T68" t="e">
        <f>#REF!</f>
        <v>#REF!</v>
      </c>
      <c r="U68" t="e">
        <f>#REF!</f>
        <v>#REF!</v>
      </c>
      <c r="V68" t="e">
        <f>#REF!</f>
        <v>#REF!</v>
      </c>
    </row>
    <row r="69" spans="1:22" x14ac:dyDescent="0.35">
      <c r="A69" s="3">
        <v>35247</v>
      </c>
      <c r="B69" s="4">
        <v>1851.5160000000001</v>
      </c>
      <c r="C69">
        <v>67</v>
      </c>
      <c r="D69">
        <f t="shared" si="8"/>
        <v>4489</v>
      </c>
      <c r="E69">
        <f t="shared" si="9"/>
        <v>7.5237600419582407</v>
      </c>
      <c r="F69" s="21">
        <f t="shared" si="10"/>
        <v>7</v>
      </c>
      <c r="G69">
        <f t="shared" si="7"/>
        <v>0</v>
      </c>
      <c r="H69">
        <f t="shared" si="6"/>
        <v>0</v>
      </c>
      <c r="I69">
        <f t="shared" si="6"/>
        <v>0</v>
      </c>
      <c r="J69">
        <f t="shared" si="6"/>
        <v>0</v>
      </c>
      <c r="K69">
        <f t="shared" si="6"/>
        <v>0</v>
      </c>
      <c r="L69">
        <f t="shared" si="6"/>
        <v>0</v>
      </c>
      <c r="M69">
        <f t="shared" si="6"/>
        <v>1</v>
      </c>
      <c r="N69">
        <f t="shared" si="6"/>
        <v>0</v>
      </c>
      <c r="O69">
        <f t="shared" si="6"/>
        <v>0</v>
      </c>
      <c r="P69">
        <f t="shared" si="6"/>
        <v>0</v>
      </c>
      <c r="Q69">
        <f t="shared" si="6"/>
        <v>0</v>
      </c>
      <c r="R69">
        <f t="shared" si="6"/>
        <v>0</v>
      </c>
      <c r="S69" t="e">
        <f>#REF!</f>
        <v>#REF!</v>
      </c>
      <c r="T69" t="e">
        <f>#REF!</f>
        <v>#REF!</v>
      </c>
      <c r="U69" t="e">
        <f>#REF!</f>
        <v>#REF!</v>
      </c>
      <c r="V69" t="e">
        <f>#REF!</f>
        <v>#REF!</v>
      </c>
    </row>
    <row r="70" spans="1:22" x14ac:dyDescent="0.35">
      <c r="A70" s="3">
        <v>35278</v>
      </c>
      <c r="B70" s="4">
        <v>1958.5730000000001</v>
      </c>
      <c r="C70">
        <v>68</v>
      </c>
      <c r="D70">
        <f t="shared" si="8"/>
        <v>4624</v>
      </c>
      <c r="E70">
        <f t="shared" si="9"/>
        <v>7.5799714258347874</v>
      </c>
      <c r="F70" s="21">
        <f t="shared" si="10"/>
        <v>8</v>
      </c>
      <c r="G70">
        <f t="shared" si="7"/>
        <v>0</v>
      </c>
      <c r="H70">
        <f t="shared" si="6"/>
        <v>0</v>
      </c>
      <c r="I70">
        <f t="shared" si="6"/>
        <v>0</v>
      </c>
      <c r="J70">
        <f t="shared" si="6"/>
        <v>0</v>
      </c>
      <c r="K70">
        <f t="shared" si="6"/>
        <v>0</v>
      </c>
      <c r="L70">
        <f t="shared" si="6"/>
        <v>0</v>
      </c>
      <c r="M70">
        <f t="shared" si="6"/>
        <v>0</v>
      </c>
      <c r="N70">
        <f t="shared" si="6"/>
        <v>1</v>
      </c>
      <c r="O70">
        <f t="shared" si="6"/>
        <v>0</v>
      </c>
      <c r="P70">
        <f t="shared" si="6"/>
        <v>0</v>
      </c>
      <c r="Q70">
        <f t="shared" si="6"/>
        <v>0</v>
      </c>
      <c r="R70">
        <f t="shared" si="6"/>
        <v>0</v>
      </c>
      <c r="S70" t="e">
        <f>#REF!</f>
        <v>#REF!</v>
      </c>
      <c r="T70" t="e">
        <f>#REF!</f>
        <v>#REF!</v>
      </c>
      <c r="U70" t="e">
        <f>#REF!</f>
        <v>#REF!</v>
      </c>
      <c r="V70" t="e">
        <f>#REF!</f>
        <v>#REF!</v>
      </c>
    </row>
    <row r="71" spans="1:22" x14ac:dyDescent="0.35">
      <c r="A71" s="3">
        <v>35309</v>
      </c>
      <c r="B71" s="4">
        <v>1565.4010000000001</v>
      </c>
      <c r="C71">
        <v>69</v>
      </c>
      <c r="D71">
        <f t="shared" si="8"/>
        <v>4761</v>
      </c>
      <c r="E71">
        <f t="shared" si="9"/>
        <v>7.3558973001848944</v>
      </c>
      <c r="F71" s="21">
        <f t="shared" si="10"/>
        <v>9</v>
      </c>
      <c r="G71">
        <f t="shared" si="7"/>
        <v>0</v>
      </c>
      <c r="H71">
        <f t="shared" si="6"/>
        <v>0</v>
      </c>
      <c r="I71">
        <f t="shared" si="6"/>
        <v>0</v>
      </c>
      <c r="J71">
        <f t="shared" si="6"/>
        <v>0</v>
      </c>
      <c r="K71">
        <f t="shared" si="6"/>
        <v>0</v>
      </c>
      <c r="L71">
        <f t="shared" si="6"/>
        <v>0</v>
      </c>
      <c r="M71">
        <f t="shared" si="6"/>
        <v>0</v>
      </c>
      <c r="N71">
        <f t="shared" si="6"/>
        <v>0</v>
      </c>
      <c r="O71">
        <f t="shared" si="6"/>
        <v>1</v>
      </c>
      <c r="P71">
        <f t="shared" si="6"/>
        <v>0</v>
      </c>
      <c r="Q71">
        <f t="shared" si="6"/>
        <v>0</v>
      </c>
      <c r="R71">
        <f t="shared" si="6"/>
        <v>0</v>
      </c>
      <c r="S71" t="e">
        <f>#REF!</f>
        <v>#REF!</v>
      </c>
      <c r="T71" t="e">
        <f>#REF!</f>
        <v>#REF!</v>
      </c>
      <c r="U71" t="e">
        <f>#REF!</f>
        <v>#REF!</v>
      </c>
      <c r="V71" t="e">
        <f>#REF!</f>
        <v>#REF!</v>
      </c>
    </row>
    <row r="72" spans="1:22" x14ac:dyDescent="0.35">
      <c r="A72" s="3">
        <v>35339</v>
      </c>
      <c r="B72" s="4">
        <v>1700.508</v>
      </c>
      <c r="C72">
        <v>70</v>
      </c>
      <c r="D72">
        <f t="shared" si="8"/>
        <v>4900</v>
      </c>
      <c r="E72">
        <f t="shared" si="9"/>
        <v>7.4386823089348608</v>
      </c>
      <c r="F72" s="21">
        <f t="shared" si="10"/>
        <v>10</v>
      </c>
      <c r="G72">
        <f t="shared" si="7"/>
        <v>0</v>
      </c>
      <c r="H72">
        <f t="shared" si="6"/>
        <v>0</v>
      </c>
      <c r="I72">
        <f t="shared" si="6"/>
        <v>0</v>
      </c>
      <c r="J72">
        <f t="shared" si="6"/>
        <v>0</v>
      </c>
      <c r="K72">
        <f t="shared" si="6"/>
        <v>0</v>
      </c>
      <c r="L72">
        <f t="shared" si="6"/>
        <v>0</v>
      </c>
      <c r="M72">
        <f t="shared" si="6"/>
        <v>0</v>
      </c>
      <c r="N72">
        <f t="shared" si="6"/>
        <v>0</v>
      </c>
      <c r="O72">
        <f t="shared" si="6"/>
        <v>0</v>
      </c>
      <c r="P72">
        <f t="shared" si="6"/>
        <v>1</v>
      </c>
      <c r="Q72">
        <f t="shared" si="6"/>
        <v>0</v>
      </c>
      <c r="R72">
        <f t="shared" si="6"/>
        <v>0</v>
      </c>
      <c r="S72" t="e">
        <f>#REF!</f>
        <v>#REF!</v>
      </c>
      <c r="T72" t="e">
        <f>#REF!</f>
        <v>#REF!</v>
      </c>
      <c r="U72" t="e">
        <f>#REF!</f>
        <v>#REF!</v>
      </c>
      <c r="V72" t="e">
        <f>#REF!</f>
        <v>#REF!</v>
      </c>
    </row>
    <row r="73" spans="1:22" x14ac:dyDescent="0.35">
      <c r="A73" s="3">
        <v>35370</v>
      </c>
      <c r="B73" s="4">
        <v>1588.204</v>
      </c>
      <c r="C73">
        <v>71</v>
      </c>
      <c r="D73">
        <f t="shared" si="8"/>
        <v>5041</v>
      </c>
      <c r="E73">
        <f t="shared" si="9"/>
        <v>7.3703590970324262</v>
      </c>
      <c r="F73" s="21">
        <f t="shared" si="10"/>
        <v>11</v>
      </c>
      <c r="G73">
        <f t="shared" si="7"/>
        <v>0</v>
      </c>
      <c r="H73">
        <f t="shared" si="6"/>
        <v>0</v>
      </c>
      <c r="I73">
        <f t="shared" si="6"/>
        <v>0</v>
      </c>
      <c r="J73">
        <f t="shared" si="6"/>
        <v>0</v>
      </c>
      <c r="K73">
        <f t="shared" si="6"/>
        <v>0</v>
      </c>
      <c r="L73">
        <f t="shared" si="6"/>
        <v>0</v>
      </c>
      <c r="M73">
        <f t="shared" si="6"/>
        <v>0</v>
      </c>
      <c r="N73">
        <f t="shared" si="6"/>
        <v>0</v>
      </c>
      <c r="O73">
        <f t="shared" si="6"/>
        <v>0</v>
      </c>
      <c r="P73">
        <f t="shared" si="6"/>
        <v>0</v>
      </c>
      <c r="Q73">
        <f t="shared" si="6"/>
        <v>1</v>
      </c>
      <c r="R73">
        <f t="shared" si="6"/>
        <v>0</v>
      </c>
      <c r="S73" t="e">
        <f>#REF!</f>
        <v>#REF!</v>
      </c>
      <c r="T73" t="e">
        <f>#REF!</f>
        <v>#REF!</v>
      </c>
      <c r="U73" t="e">
        <f>#REF!</f>
        <v>#REF!</v>
      </c>
      <c r="V73" t="e">
        <f>#REF!</f>
        <v>#REF!</v>
      </c>
    </row>
    <row r="74" spans="1:22" x14ac:dyDescent="0.35">
      <c r="A74" s="3">
        <v>35400</v>
      </c>
      <c r="B74" s="4">
        <v>1713.433</v>
      </c>
      <c r="C74">
        <v>72</v>
      </c>
      <c r="D74">
        <f t="shared" si="8"/>
        <v>5184</v>
      </c>
      <c r="E74">
        <f t="shared" si="9"/>
        <v>7.4462542392954481</v>
      </c>
      <c r="F74" s="21">
        <f t="shared" si="10"/>
        <v>12</v>
      </c>
      <c r="G74">
        <f t="shared" si="7"/>
        <v>0</v>
      </c>
      <c r="H74">
        <f t="shared" si="6"/>
        <v>0</v>
      </c>
      <c r="I74">
        <f t="shared" si="6"/>
        <v>0</v>
      </c>
      <c r="J74">
        <f t="shared" si="6"/>
        <v>0</v>
      </c>
      <c r="K74">
        <f t="shared" si="6"/>
        <v>0</v>
      </c>
      <c r="L74">
        <f t="shared" si="6"/>
        <v>0</v>
      </c>
      <c r="M74">
        <f t="shared" si="6"/>
        <v>0</v>
      </c>
      <c r="N74">
        <f t="shared" si="6"/>
        <v>0</v>
      </c>
      <c r="O74">
        <f t="shared" si="6"/>
        <v>0</v>
      </c>
      <c r="P74">
        <f t="shared" si="6"/>
        <v>0</v>
      </c>
      <c r="Q74">
        <f t="shared" si="6"/>
        <v>0</v>
      </c>
      <c r="R74">
        <f t="shared" si="6"/>
        <v>1</v>
      </c>
      <c r="S74" t="e">
        <f>#REF!</f>
        <v>#REF!</v>
      </c>
      <c r="T74" t="e">
        <f>#REF!</f>
        <v>#REF!</v>
      </c>
      <c r="U74" t="e">
        <f>#REF!</f>
        <v>#REF!</v>
      </c>
      <c r="V74" t="e">
        <f>#REF!</f>
        <v>#REF!</v>
      </c>
    </row>
    <row r="75" spans="1:22" x14ac:dyDescent="0.35">
      <c r="A75" s="3">
        <v>35431</v>
      </c>
      <c r="B75" s="4">
        <v>1411.588</v>
      </c>
      <c r="C75">
        <v>73</v>
      </c>
      <c r="D75">
        <f t="shared" si="8"/>
        <v>5329</v>
      </c>
      <c r="E75">
        <f t="shared" si="9"/>
        <v>7.252470590773199</v>
      </c>
      <c r="F75" s="21">
        <f t="shared" si="10"/>
        <v>1</v>
      </c>
      <c r="G75">
        <f t="shared" si="7"/>
        <v>1</v>
      </c>
      <c r="H75">
        <f t="shared" si="6"/>
        <v>0</v>
      </c>
      <c r="I75">
        <f t="shared" si="6"/>
        <v>0</v>
      </c>
      <c r="J75">
        <f t="shared" si="6"/>
        <v>0</v>
      </c>
      <c r="K75">
        <f t="shared" si="6"/>
        <v>0</v>
      </c>
      <c r="L75">
        <f t="shared" si="6"/>
        <v>0</v>
      </c>
      <c r="M75">
        <f t="shared" si="6"/>
        <v>0</v>
      </c>
      <c r="N75">
        <f t="shared" si="6"/>
        <v>0</v>
      </c>
      <c r="O75">
        <f t="shared" si="6"/>
        <v>0</v>
      </c>
      <c r="P75">
        <f t="shared" si="6"/>
        <v>0</v>
      </c>
      <c r="Q75">
        <f t="shared" si="6"/>
        <v>0</v>
      </c>
      <c r="R75">
        <f t="shared" si="6"/>
        <v>0</v>
      </c>
      <c r="S75" t="e">
        <f>#REF!</f>
        <v>#REF!</v>
      </c>
      <c r="T75" t="e">
        <f>#REF!</f>
        <v>#REF!</v>
      </c>
      <c r="U75" t="e">
        <f>#REF!</f>
        <v>#REF!</v>
      </c>
      <c r="V75" t="e">
        <f>#REF!</f>
        <v>#REF!</v>
      </c>
    </row>
    <row r="76" spans="1:22" x14ac:dyDescent="0.35">
      <c r="A76" s="3">
        <v>35462</v>
      </c>
      <c r="B76" s="4">
        <v>1388.69</v>
      </c>
      <c r="C76">
        <v>74</v>
      </c>
      <c r="D76">
        <f t="shared" si="8"/>
        <v>5476</v>
      </c>
      <c r="E76">
        <f t="shared" si="9"/>
        <v>7.2361161357000743</v>
      </c>
      <c r="F76" s="21">
        <f t="shared" si="10"/>
        <v>2</v>
      </c>
      <c r="G76">
        <f t="shared" si="7"/>
        <v>0</v>
      </c>
      <c r="H76">
        <f t="shared" si="6"/>
        <v>1</v>
      </c>
      <c r="I76">
        <f t="shared" si="6"/>
        <v>0</v>
      </c>
      <c r="J76">
        <f t="shared" si="6"/>
        <v>0</v>
      </c>
      <c r="K76">
        <f t="shared" si="6"/>
        <v>0</v>
      </c>
      <c r="L76">
        <f t="shared" si="6"/>
        <v>0</v>
      </c>
      <c r="M76">
        <f t="shared" si="6"/>
        <v>0</v>
      </c>
      <c r="N76">
        <f t="shared" si="6"/>
        <v>0</v>
      </c>
      <c r="O76">
        <f t="shared" si="6"/>
        <v>0</v>
      </c>
      <c r="P76">
        <f t="shared" si="6"/>
        <v>0</v>
      </c>
      <c r="Q76">
        <f t="shared" si="6"/>
        <v>0</v>
      </c>
      <c r="R76">
        <f t="shared" si="6"/>
        <v>0</v>
      </c>
      <c r="S76" t="e">
        <f>#REF!</f>
        <v>#REF!</v>
      </c>
      <c r="T76" t="e">
        <f>#REF!</f>
        <v>#REF!</v>
      </c>
      <c r="U76" t="e">
        <f>#REF!</f>
        <v>#REF!</v>
      </c>
      <c r="V76" t="e">
        <f>#REF!</f>
        <v>#REF!</v>
      </c>
    </row>
    <row r="77" spans="1:22" x14ac:dyDescent="0.35">
      <c r="A77" s="3">
        <v>35490</v>
      </c>
      <c r="B77" s="4">
        <v>1720.5219999999999</v>
      </c>
      <c r="C77">
        <v>75</v>
      </c>
      <c r="D77">
        <f t="shared" si="8"/>
        <v>5625</v>
      </c>
      <c r="E77">
        <f t="shared" si="9"/>
        <v>7.450383012136311</v>
      </c>
      <c r="F77" s="21">
        <f t="shared" si="10"/>
        <v>3</v>
      </c>
      <c r="G77">
        <f t="shared" si="7"/>
        <v>0</v>
      </c>
      <c r="H77">
        <f t="shared" si="6"/>
        <v>0</v>
      </c>
      <c r="I77">
        <f t="shared" si="6"/>
        <v>1</v>
      </c>
      <c r="J77">
        <f t="shared" si="6"/>
        <v>0</v>
      </c>
      <c r="K77">
        <f t="shared" si="6"/>
        <v>0</v>
      </c>
      <c r="L77">
        <f t="shared" si="6"/>
        <v>0</v>
      </c>
      <c r="M77">
        <f t="shared" si="6"/>
        <v>0</v>
      </c>
      <c r="N77">
        <f t="shared" si="6"/>
        <v>0</v>
      </c>
      <c r="O77">
        <f t="shared" si="6"/>
        <v>0</v>
      </c>
      <c r="P77">
        <f t="shared" si="6"/>
        <v>0</v>
      </c>
      <c r="Q77">
        <f t="shared" si="6"/>
        <v>0</v>
      </c>
      <c r="R77">
        <f t="shared" si="6"/>
        <v>0</v>
      </c>
      <c r="S77" t="e">
        <f>#REF!</f>
        <v>#REF!</v>
      </c>
      <c r="T77" t="e">
        <f>#REF!</f>
        <v>#REF!</v>
      </c>
      <c r="U77" t="e">
        <f>#REF!</f>
        <v>#REF!</v>
      </c>
      <c r="V77" t="e">
        <f>#REF!</f>
        <v>#REF!</v>
      </c>
    </row>
    <row r="78" spans="1:22" x14ac:dyDescent="0.35">
      <c r="A78" s="3">
        <v>35521</v>
      </c>
      <c r="B78" s="4">
        <v>1666.604</v>
      </c>
      <c r="C78">
        <v>76</v>
      </c>
      <c r="D78">
        <f t="shared" si="8"/>
        <v>5776</v>
      </c>
      <c r="E78">
        <f t="shared" si="9"/>
        <v>7.4185433020412299</v>
      </c>
      <c r="F78" s="21">
        <f t="shared" si="10"/>
        <v>4</v>
      </c>
      <c r="G78">
        <f t="shared" si="7"/>
        <v>0</v>
      </c>
      <c r="H78">
        <f t="shared" si="6"/>
        <v>0</v>
      </c>
      <c r="I78">
        <f t="shared" si="6"/>
        <v>0</v>
      </c>
      <c r="J78">
        <f t="shared" si="6"/>
        <v>1</v>
      </c>
      <c r="K78">
        <f t="shared" si="6"/>
        <v>0</v>
      </c>
      <c r="L78">
        <f t="shared" si="6"/>
        <v>0</v>
      </c>
      <c r="M78">
        <f t="shared" si="6"/>
        <v>0</v>
      </c>
      <c r="N78">
        <f t="shared" si="6"/>
        <v>0</v>
      </c>
      <c r="O78">
        <f t="shared" si="6"/>
        <v>0</v>
      </c>
      <c r="P78">
        <f t="shared" si="6"/>
        <v>0</v>
      </c>
      <c r="Q78">
        <f t="shared" si="6"/>
        <v>0</v>
      </c>
      <c r="R78">
        <f t="shared" si="6"/>
        <v>0</v>
      </c>
      <c r="S78" t="e">
        <f>#REF!</f>
        <v>#REF!</v>
      </c>
      <c r="T78" t="e">
        <f>#REF!</f>
        <v>#REF!</v>
      </c>
      <c r="U78" t="e">
        <f>#REF!</f>
        <v>#REF!</v>
      </c>
      <c r="V78" t="e">
        <f>#REF!</f>
        <v>#REF!</v>
      </c>
    </row>
    <row r="79" spans="1:22" x14ac:dyDescent="0.35">
      <c r="A79" s="3">
        <v>35551</v>
      </c>
      <c r="B79" s="4">
        <v>1779.903</v>
      </c>
      <c r="C79">
        <v>77</v>
      </c>
      <c r="D79">
        <f t="shared" si="8"/>
        <v>5929</v>
      </c>
      <c r="E79">
        <f t="shared" si="9"/>
        <v>7.4843141474192354</v>
      </c>
      <c r="F79" s="21">
        <f t="shared" si="10"/>
        <v>5</v>
      </c>
      <c r="G79">
        <f t="shared" si="7"/>
        <v>0</v>
      </c>
      <c r="H79">
        <f t="shared" si="6"/>
        <v>0</v>
      </c>
      <c r="I79">
        <f t="shared" si="6"/>
        <v>0</v>
      </c>
      <c r="J79">
        <f t="shared" si="6"/>
        <v>0</v>
      </c>
      <c r="K79">
        <f t="shared" si="6"/>
        <v>1</v>
      </c>
      <c r="L79">
        <f t="shared" si="6"/>
        <v>0</v>
      </c>
      <c r="M79">
        <f t="shared" si="6"/>
        <v>0</v>
      </c>
      <c r="N79">
        <f t="shared" si="6"/>
        <v>0</v>
      </c>
      <c r="O79">
        <f t="shared" si="6"/>
        <v>0</v>
      </c>
      <c r="P79">
        <f t="shared" si="6"/>
        <v>0</v>
      </c>
      <c r="Q79">
        <f t="shared" si="6"/>
        <v>0</v>
      </c>
      <c r="R79">
        <f t="shared" si="6"/>
        <v>0</v>
      </c>
      <c r="S79" t="e">
        <f>#REF!</f>
        <v>#REF!</v>
      </c>
      <c r="T79" t="e">
        <f>#REF!</f>
        <v>#REF!</v>
      </c>
      <c r="U79" t="e">
        <f>#REF!</f>
        <v>#REF!</v>
      </c>
      <c r="V79" t="e">
        <f>#REF!</f>
        <v>#REF!</v>
      </c>
    </row>
    <row r="80" spans="1:22" x14ac:dyDescent="0.35">
      <c r="A80" s="3">
        <v>35582</v>
      </c>
      <c r="B80" s="4">
        <v>1787.8</v>
      </c>
      <c r="C80">
        <v>78</v>
      </c>
      <c r="D80">
        <f t="shared" si="8"/>
        <v>6084</v>
      </c>
      <c r="E80">
        <f t="shared" si="9"/>
        <v>7.4887410926537523</v>
      </c>
      <c r="F80" s="21">
        <f t="shared" si="10"/>
        <v>6</v>
      </c>
      <c r="G80">
        <f t="shared" si="7"/>
        <v>0</v>
      </c>
      <c r="H80">
        <f t="shared" si="6"/>
        <v>0</v>
      </c>
      <c r="I80">
        <f t="shared" si="6"/>
        <v>0</v>
      </c>
      <c r="J80">
        <f t="shared" si="6"/>
        <v>0</v>
      </c>
      <c r="K80">
        <f t="shared" si="6"/>
        <v>0</v>
      </c>
      <c r="L80">
        <f t="shared" ref="H80:R103" si="11">IF($F80=L$1,1,0)</f>
        <v>1</v>
      </c>
      <c r="M80">
        <f t="shared" si="11"/>
        <v>0</v>
      </c>
      <c r="N80">
        <f t="shared" si="11"/>
        <v>0</v>
      </c>
      <c r="O80">
        <f t="shared" si="11"/>
        <v>0</v>
      </c>
      <c r="P80">
        <f t="shared" si="11"/>
        <v>0</v>
      </c>
      <c r="Q80">
        <f t="shared" si="11"/>
        <v>0</v>
      </c>
      <c r="R80">
        <f t="shared" si="11"/>
        <v>0</v>
      </c>
      <c r="S80" t="e">
        <f>#REF!</f>
        <v>#REF!</v>
      </c>
      <c r="T80" t="e">
        <f>#REF!</f>
        <v>#REF!</v>
      </c>
      <c r="U80" t="e">
        <f>#REF!</f>
        <v>#REF!</v>
      </c>
      <c r="V80" t="e">
        <f>#REF!</f>
        <v>#REF!</v>
      </c>
    </row>
    <row r="81" spans="1:22" x14ac:dyDescent="0.35">
      <c r="A81" s="3">
        <v>35612</v>
      </c>
      <c r="B81" s="4">
        <v>1951.2190000000001</v>
      </c>
      <c r="C81">
        <v>79</v>
      </c>
      <c r="D81">
        <f t="shared" si="8"/>
        <v>6241</v>
      </c>
      <c r="E81">
        <f t="shared" si="9"/>
        <v>7.5762095844516768</v>
      </c>
      <c r="F81" s="21">
        <f t="shared" si="10"/>
        <v>7</v>
      </c>
      <c r="G81">
        <f t="shared" si="7"/>
        <v>0</v>
      </c>
      <c r="H81">
        <f t="shared" si="11"/>
        <v>0</v>
      </c>
      <c r="I81">
        <f t="shared" si="11"/>
        <v>0</v>
      </c>
      <c r="J81">
        <f t="shared" si="11"/>
        <v>0</v>
      </c>
      <c r="K81">
        <f t="shared" si="11"/>
        <v>0</v>
      </c>
      <c r="L81">
        <f t="shared" si="11"/>
        <v>0</v>
      </c>
      <c r="M81">
        <f t="shared" si="11"/>
        <v>1</v>
      </c>
      <c r="N81">
        <f t="shared" si="11"/>
        <v>0</v>
      </c>
      <c r="O81">
        <f t="shared" si="11"/>
        <v>0</v>
      </c>
      <c r="P81">
        <f t="shared" si="11"/>
        <v>0</v>
      </c>
      <c r="Q81">
        <f t="shared" si="11"/>
        <v>0</v>
      </c>
      <c r="R81">
        <f t="shared" si="11"/>
        <v>0</v>
      </c>
      <c r="S81" t="e">
        <f>#REF!</f>
        <v>#REF!</v>
      </c>
      <c r="T81" t="e">
        <f>#REF!</f>
        <v>#REF!</v>
      </c>
      <c r="U81" t="e">
        <f>#REF!</f>
        <v>#REF!</v>
      </c>
      <c r="V81" t="e">
        <f>#REF!</f>
        <v>#REF!</v>
      </c>
    </row>
    <row r="82" spans="1:22" x14ac:dyDescent="0.35">
      <c r="A82" s="3">
        <v>35643</v>
      </c>
      <c r="B82" s="4">
        <v>2021.0550000000001</v>
      </c>
      <c r="C82">
        <v>80</v>
      </c>
      <c r="D82">
        <f t="shared" si="8"/>
        <v>6400</v>
      </c>
      <c r="E82">
        <f t="shared" si="9"/>
        <v>7.6113749312836916</v>
      </c>
      <c r="F82" s="21">
        <f t="shared" si="10"/>
        <v>8</v>
      </c>
      <c r="G82">
        <f t="shared" si="7"/>
        <v>0</v>
      </c>
      <c r="H82">
        <f t="shared" si="11"/>
        <v>0</v>
      </c>
      <c r="I82">
        <f t="shared" si="11"/>
        <v>0</v>
      </c>
      <c r="J82">
        <f t="shared" si="11"/>
        <v>0</v>
      </c>
      <c r="K82">
        <f t="shared" si="11"/>
        <v>0</v>
      </c>
      <c r="L82">
        <f t="shared" si="11"/>
        <v>0</v>
      </c>
      <c r="M82">
        <f t="shared" si="11"/>
        <v>0</v>
      </c>
      <c r="N82">
        <f t="shared" si="11"/>
        <v>1</v>
      </c>
      <c r="O82">
        <f t="shared" si="11"/>
        <v>0</v>
      </c>
      <c r="P82">
        <f t="shared" si="11"/>
        <v>0</v>
      </c>
      <c r="Q82">
        <f t="shared" si="11"/>
        <v>0</v>
      </c>
      <c r="R82">
        <f t="shared" si="11"/>
        <v>0</v>
      </c>
      <c r="S82" t="e">
        <f>#REF!</f>
        <v>#REF!</v>
      </c>
      <c r="T82" t="e">
        <f>#REF!</f>
        <v>#REF!</v>
      </c>
      <c r="U82" t="e">
        <f>#REF!</f>
        <v>#REF!</v>
      </c>
      <c r="V82" t="e">
        <f>#REF!</f>
        <v>#REF!</v>
      </c>
    </row>
    <row r="83" spans="1:22" x14ac:dyDescent="0.35">
      <c r="A83" s="3">
        <v>35674</v>
      </c>
      <c r="B83" s="4">
        <v>1629.924</v>
      </c>
      <c r="C83">
        <v>81</v>
      </c>
      <c r="D83">
        <f t="shared" si="8"/>
        <v>6561</v>
      </c>
      <c r="E83">
        <f t="shared" si="9"/>
        <v>7.3962886669469219</v>
      </c>
      <c r="F83" s="21">
        <f t="shared" si="10"/>
        <v>9</v>
      </c>
      <c r="G83">
        <f t="shared" si="7"/>
        <v>0</v>
      </c>
      <c r="H83">
        <f t="shared" si="11"/>
        <v>0</v>
      </c>
      <c r="I83">
        <f t="shared" si="11"/>
        <v>0</v>
      </c>
      <c r="J83">
        <f t="shared" si="11"/>
        <v>0</v>
      </c>
      <c r="K83">
        <f t="shared" si="11"/>
        <v>0</v>
      </c>
      <c r="L83">
        <f t="shared" si="11"/>
        <v>0</v>
      </c>
      <c r="M83">
        <f t="shared" si="11"/>
        <v>0</v>
      </c>
      <c r="N83">
        <f t="shared" si="11"/>
        <v>0</v>
      </c>
      <c r="O83">
        <f t="shared" si="11"/>
        <v>1</v>
      </c>
      <c r="P83">
        <f t="shared" si="11"/>
        <v>0</v>
      </c>
      <c r="Q83">
        <f t="shared" si="11"/>
        <v>0</v>
      </c>
      <c r="R83">
        <f t="shared" si="11"/>
        <v>0</v>
      </c>
      <c r="S83" t="e">
        <f>#REF!</f>
        <v>#REF!</v>
      </c>
      <c r="T83" t="e">
        <f>#REF!</f>
        <v>#REF!</v>
      </c>
      <c r="U83" t="e">
        <f>#REF!</f>
        <v>#REF!</v>
      </c>
      <c r="V83" t="e">
        <f>#REF!</f>
        <v>#REF!</v>
      </c>
    </row>
    <row r="84" spans="1:22" x14ac:dyDescent="0.35">
      <c r="A84" s="3">
        <v>35704</v>
      </c>
      <c r="B84" s="4">
        <v>1789.91</v>
      </c>
      <c r="C84">
        <v>82</v>
      </c>
      <c r="D84">
        <f t="shared" si="8"/>
        <v>6724</v>
      </c>
      <c r="E84">
        <f t="shared" si="9"/>
        <v>7.4899206182411442</v>
      </c>
      <c r="F84" s="21">
        <f t="shared" si="10"/>
        <v>10</v>
      </c>
      <c r="G84">
        <f t="shared" si="7"/>
        <v>0</v>
      </c>
      <c r="H84">
        <f t="shared" si="11"/>
        <v>0</v>
      </c>
      <c r="I84">
        <f t="shared" si="11"/>
        <v>0</v>
      </c>
      <c r="J84">
        <f t="shared" si="11"/>
        <v>0</v>
      </c>
      <c r="K84">
        <f t="shared" si="11"/>
        <v>0</v>
      </c>
      <c r="L84">
        <f t="shared" si="11"/>
        <v>0</v>
      </c>
      <c r="M84">
        <f t="shared" si="11"/>
        <v>0</v>
      </c>
      <c r="N84">
        <f t="shared" si="11"/>
        <v>0</v>
      </c>
      <c r="O84">
        <f t="shared" si="11"/>
        <v>0</v>
      </c>
      <c r="P84">
        <f t="shared" si="11"/>
        <v>1</v>
      </c>
      <c r="Q84">
        <f t="shared" si="11"/>
        <v>0</v>
      </c>
      <c r="R84">
        <f t="shared" si="11"/>
        <v>0</v>
      </c>
      <c r="S84" t="e">
        <f>#REF!</f>
        <v>#REF!</v>
      </c>
      <c r="T84" t="e">
        <f>#REF!</f>
        <v>#REF!</v>
      </c>
      <c r="U84" t="e">
        <f>#REF!</f>
        <v>#REF!</v>
      </c>
      <c r="V84" t="e">
        <f>#REF!</f>
        <v>#REF!</v>
      </c>
    </row>
    <row r="85" spans="1:22" x14ac:dyDescent="0.35">
      <c r="A85" s="3">
        <v>35735</v>
      </c>
      <c r="B85" s="4">
        <v>1749.3679999999999</v>
      </c>
      <c r="C85">
        <v>83</v>
      </c>
      <c r="D85">
        <f t="shared" si="8"/>
        <v>6889</v>
      </c>
      <c r="E85">
        <f t="shared" si="9"/>
        <v>7.4670098588326308</v>
      </c>
      <c r="F85" s="21">
        <f t="shared" si="10"/>
        <v>11</v>
      </c>
      <c r="G85">
        <f t="shared" si="7"/>
        <v>0</v>
      </c>
      <c r="H85">
        <f t="shared" si="11"/>
        <v>0</v>
      </c>
      <c r="I85">
        <f t="shared" si="11"/>
        <v>0</v>
      </c>
      <c r="J85">
        <f t="shared" si="11"/>
        <v>0</v>
      </c>
      <c r="K85">
        <f t="shared" si="11"/>
        <v>0</v>
      </c>
      <c r="L85">
        <f t="shared" si="11"/>
        <v>0</v>
      </c>
      <c r="M85">
        <f t="shared" si="11"/>
        <v>0</v>
      </c>
      <c r="N85">
        <f t="shared" si="11"/>
        <v>0</v>
      </c>
      <c r="O85">
        <f t="shared" si="11"/>
        <v>0</v>
      </c>
      <c r="P85">
        <f t="shared" si="11"/>
        <v>0</v>
      </c>
      <c r="Q85">
        <f t="shared" si="11"/>
        <v>1</v>
      </c>
      <c r="R85">
        <f t="shared" si="11"/>
        <v>0</v>
      </c>
      <c r="S85" t="e">
        <f>#REF!</f>
        <v>#REF!</v>
      </c>
      <c r="T85" t="e">
        <f>#REF!</f>
        <v>#REF!</v>
      </c>
      <c r="U85" t="e">
        <f>#REF!</f>
        <v>#REF!</v>
      </c>
      <c r="V85" t="e">
        <f>#REF!</f>
        <v>#REF!</v>
      </c>
    </row>
    <row r="86" spans="1:22" x14ac:dyDescent="0.35">
      <c r="A86" s="3">
        <v>35765</v>
      </c>
      <c r="B86" s="4">
        <v>1809.626</v>
      </c>
      <c r="C86">
        <v>84</v>
      </c>
      <c r="D86">
        <f t="shared" si="8"/>
        <v>7056</v>
      </c>
      <c r="E86">
        <f t="shared" si="9"/>
        <v>7.500875473074732</v>
      </c>
      <c r="F86" s="21">
        <f t="shared" si="10"/>
        <v>12</v>
      </c>
      <c r="G86">
        <f t="shared" si="7"/>
        <v>0</v>
      </c>
      <c r="H86">
        <f t="shared" si="11"/>
        <v>0</v>
      </c>
      <c r="I86">
        <f t="shared" si="11"/>
        <v>0</v>
      </c>
      <c r="J86">
        <f t="shared" si="11"/>
        <v>0</v>
      </c>
      <c r="K86">
        <f t="shared" si="11"/>
        <v>0</v>
      </c>
      <c r="L86">
        <f t="shared" si="11"/>
        <v>0</v>
      </c>
      <c r="M86">
        <f t="shared" si="11"/>
        <v>0</v>
      </c>
      <c r="N86">
        <f t="shared" si="11"/>
        <v>0</v>
      </c>
      <c r="O86">
        <f t="shared" si="11"/>
        <v>0</v>
      </c>
      <c r="P86">
        <f t="shared" si="11"/>
        <v>0</v>
      </c>
      <c r="Q86">
        <f t="shared" si="11"/>
        <v>0</v>
      </c>
      <c r="R86">
        <f t="shared" si="11"/>
        <v>1</v>
      </c>
      <c r="S86" t="e">
        <f>#REF!</f>
        <v>#REF!</v>
      </c>
      <c r="T86" t="e">
        <f>#REF!</f>
        <v>#REF!</v>
      </c>
      <c r="U86" t="e">
        <f>#REF!</f>
        <v>#REF!</v>
      </c>
      <c r="V86" t="e">
        <f>#REF!</f>
        <v>#REF!</v>
      </c>
    </row>
    <row r="87" spans="1:22" x14ac:dyDescent="0.35">
      <c r="A87" s="3">
        <v>35796</v>
      </c>
      <c r="B87" s="4">
        <v>1583.33</v>
      </c>
      <c r="C87">
        <v>85</v>
      </c>
      <c r="D87">
        <f t="shared" si="8"/>
        <v>7225</v>
      </c>
      <c r="E87">
        <f t="shared" si="9"/>
        <v>7.3672855030952036</v>
      </c>
      <c r="F87" s="21">
        <f t="shared" si="10"/>
        <v>1</v>
      </c>
      <c r="G87">
        <f t="shared" si="7"/>
        <v>1</v>
      </c>
      <c r="H87">
        <f t="shared" si="11"/>
        <v>0</v>
      </c>
      <c r="I87">
        <f t="shared" si="11"/>
        <v>0</v>
      </c>
      <c r="J87">
        <f t="shared" si="11"/>
        <v>0</v>
      </c>
      <c r="K87">
        <f t="shared" si="11"/>
        <v>0</v>
      </c>
      <c r="L87">
        <f t="shared" si="11"/>
        <v>0</v>
      </c>
      <c r="M87">
        <f t="shared" si="11"/>
        <v>0</v>
      </c>
      <c r="N87">
        <f t="shared" si="11"/>
        <v>0</v>
      </c>
      <c r="O87">
        <f t="shared" si="11"/>
        <v>0</v>
      </c>
      <c r="P87">
        <f t="shared" si="11"/>
        <v>0</v>
      </c>
      <c r="Q87">
        <f t="shared" si="11"/>
        <v>0</v>
      </c>
      <c r="R87">
        <f t="shared" si="11"/>
        <v>0</v>
      </c>
      <c r="S87" t="e">
        <f>#REF!</f>
        <v>#REF!</v>
      </c>
      <c r="T87" t="e">
        <f>#REF!</f>
        <v>#REF!</v>
      </c>
      <c r="U87" t="e">
        <f>#REF!</f>
        <v>#REF!</v>
      </c>
      <c r="V87" t="e">
        <f>#REF!</f>
        <v>#REF!</v>
      </c>
    </row>
    <row r="88" spans="1:22" x14ac:dyDescent="0.35">
      <c r="A88" s="3">
        <v>35827</v>
      </c>
      <c r="B88" s="4">
        <v>1424.691</v>
      </c>
      <c r="C88">
        <v>86</v>
      </c>
      <c r="D88">
        <f t="shared" si="8"/>
        <v>7396</v>
      </c>
      <c r="E88">
        <f t="shared" si="9"/>
        <v>7.2617102270838396</v>
      </c>
      <c r="F88" s="21">
        <f t="shared" si="10"/>
        <v>2</v>
      </c>
      <c r="G88">
        <f t="shared" si="7"/>
        <v>0</v>
      </c>
      <c r="H88">
        <f t="shared" si="11"/>
        <v>1</v>
      </c>
      <c r="I88">
        <f t="shared" si="11"/>
        <v>0</v>
      </c>
      <c r="J88">
        <f t="shared" si="11"/>
        <v>0</v>
      </c>
      <c r="K88">
        <f t="shared" si="11"/>
        <v>0</v>
      </c>
      <c r="L88">
        <f t="shared" si="11"/>
        <v>0</v>
      </c>
      <c r="M88">
        <f t="shared" si="11"/>
        <v>0</v>
      </c>
      <c r="N88">
        <f t="shared" si="11"/>
        <v>0</v>
      </c>
      <c r="O88">
        <f t="shared" si="11"/>
        <v>0</v>
      </c>
      <c r="P88">
        <f t="shared" si="11"/>
        <v>0</v>
      </c>
      <c r="Q88">
        <f t="shared" si="11"/>
        <v>0</v>
      </c>
      <c r="R88">
        <f t="shared" si="11"/>
        <v>0</v>
      </c>
      <c r="S88" t="e">
        <f>#REF!</f>
        <v>#REF!</v>
      </c>
      <c r="T88" t="e">
        <f>#REF!</f>
        <v>#REF!</v>
      </c>
      <c r="U88" t="e">
        <f>#REF!</f>
        <v>#REF!</v>
      </c>
      <c r="V88" t="e">
        <f>#REF!</f>
        <v>#REF!</v>
      </c>
    </row>
    <row r="89" spans="1:22" x14ac:dyDescent="0.35">
      <c r="A89" s="3">
        <v>35855</v>
      </c>
      <c r="B89" s="4">
        <v>1766.6410000000001</v>
      </c>
      <c r="C89">
        <v>87</v>
      </c>
      <c r="D89">
        <f t="shared" si="8"/>
        <v>7569</v>
      </c>
      <c r="E89">
        <f t="shared" si="9"/>
        <v>7.4768352824646795</v>
      </c>
      <c r="F89" s="21">
        <f t="shared" si="10"/>
        <v>3</v>
      </c>
      <c r="G89">
        <f t="shared" si="7"/>
        <v>0</v>
      </c>
      <c r="H89">
        <f t="shared" si="11"/>
        <v>0</v>
      </c>
      <c r="I89">
        <f t="shared" si="11"/>
        <v>1</v>
      </c>
      <c r="J89">
        <f t="shared" si="11"/>
        <v>0</v>
      </c>
      <c r="K89">
        <f t="shared" si="11"/>
        <v>0</v>
      </c>
      <c r="L89">
        <f t="shared" si="11"/>
        <v>0</v>
      </c>
      <c r="M89">
        <f t="shared" si="11"/>
        <v>0</v>
      </c>
      <c r="N89">
        <f t="shared" si="11"/>
        <v>0</v>
      </c>
      <c r="O89">
        <f t="shared" si="11"/>
        <v>0</v>
      </c>
      <c r="P89">
        <f t="shared" si="11"/>
        <v>0</v>
      </c>
      <c r="Q89">
        <f t="shared" si="11"/>
        <v>0</v>
      </c>
      <c r="R89">
        <f t="shared" si="11"/>
        <v>0</v>
      </c>
      <c r="S89" t="e">
        <f>#REF!</f>
        <v>#REF!</v>
      </c>
      <c r="T89" t="e">
        <f>#REF!</f>
        <v>#REF!</v>
      </c>
      <c r="U89" t="e">
        <f>#REF!</f>
        <v>#REF!</v>
      </c>
      <c r="V89" t="e">
        <f>#REF!</f>
        <v>#REF!</v>
      </c>
    </row>
    <row r="90" spans="1:22" x14ac:dyDescent="0.35">
      <c r="A90" s="3">
        <v>35886</v>
      </c>
      <c r="B90" s="4">
        <v>1841.932</v>
      </c>
      <c r="C90">
        <v>88</v>
      </c>
      <c r="D90">
        <f t="shared" si="8"/>
        <v>7744</v>
      </c>
      <c r="E90">
        <f t="shared" si="9"/>
        <v>7.5185702997386024</v>
      </c>
      <c r="F90" s="21">
        <f t="shared" si="10"/>
        <v>4</v>
      </c>
      <c r="G90">
        <f t="shared" si="7"/>
        <v>0</v>
      </c>
      <c r="H90">
        <f t="shared" si="11"/>
        <v>0</v>
      </c>
      <c r="I90">
        <f t="shared" si="11"/>
        <v>0</v>
      </c>
      <c r="J90">
        <f t="shared" si="11"/>
        <v>1</v>
      </c>
      <c r="K90">
        <f t="shared" si="11"/>
        <v>0</v>
      </c>
      <c r="L90">
        <f t="shared" si="11"/>
        <v>0</v>
      </c>
      <c r="M90">
        <f t="shared" si="11"/>
        <v>0</v>
      </c>
      <c r="N90">
        <f t="shared" si="11"/>
        <v>0</v>
      </c>
      <c r="O90">
        <f t="shared" si="11"/>
        <v>0</v>
      </c>
      <c r="P90">
        <f t="shared" si="11"/>
        <v>0</v>
      </c>
      <c r="Q90">
        <f t="shared" si="11"/>
        <v>0</v>
      </c>
      <c r="R90">
        <f t="shared" si="11"/>
        <v>0</v>
      </c>
      <c r="S90" t="e">
        <f>#REF!</f>
        <v>#REF!</v>
      </c>
      <c r="T90" t="e">
        <f>#REF!</f>
        <v>#REF!</v>
      </c>
      <c r="U90" t="e">
        <f>#REF!</f>
        <v>#REF!</v>
      </c>
      <c r="V90" t="e">
        <f>#REF!</f>
        <v>#REF!</v>
      </c>
    </row>
    <row r="91" spans="1:22" x14ac:dyDescent="0.35">
      <c r="A91" s="3">
        <v>35916</v>
      </c>
      <c r="B91" s="4">
        <v>1855.289</v>
      </c>
      <c r="C91">
        <v>89</v>
      </c>
      <c r="D91">
        <f t="shared" si="8"/>
        <v>7921</v>
      </c>
      <c r="E91">
        <f t="shared" si="9"/>
        <v>7.5257957580549801</v>
      </c>
      <c r="F91" s="21">
        <f t="shared" si="10"/>
        <v>5</v>
      </c>
      <c r="G91">
        <f t="shared" si="7"/>
        <v>0</v>
      </c>
      <c r="H91">
        <f t="shared" si="11"/>
        <v>0</v>
      </c>
      <c r="I91">
        <f t="shared" si="11"/>
        <v>0</v>
      </c>
      <c r="J91">
        <f t="shared" si="11"/>
        <v>0</v>
      </c>
      <c r="K91">
        <f t="shared" si="11"/>
        <v>1</v>
      </c>
      <c r="L91">
        <f t="shared" si="11"/>
        <v>0</v>
      </c>
      <c r="M91">
        <f t="shared" si="11"/>
        <v>0</v>
      </c>
      <c r="N91">
        <f t="shared" si="11"/>
        <v>0</v>
      </c>
      <c r="O91">
        <f t="shared" si="11"/>
        <v>0</v>
      </c>
      <c r="P91">
        <f t="shared" si="11"/>
        <v>0</v>
      </c>
      <c r="Q91">
        <f t="shared" si="11"/>
        <v>0</v>
      </c>
      <c r="R91">
        <f t="shared" si="11"/>
        <v>0</v>
      </c>
      <c r="S91" t="e">
        <f>#REF!</f>
        <v>#REF!</v>
      </c>
      <c r="T91" t="e">
        <f>#REF!</f>
        <v>#REF!</v>
      </c>
      <c r="U91" t="e">
        <f>#REF!</f>
        <v>#REF!</v>
      </c>
      <c r="V91" t="e">
        <f>#REF!</f>
        <v>#REF!</v>
      </c>
    </row>
    <row r="92" spans="1:22" x14ac:dyDescent="0.35">
      <c r="A92" s="3">
        <v>35947</v>
      </c>
      <c r="B92" s="4">
        <v>1837.9639999999999</v>
      </c>
      <c r="C92">
        <v>90</v>
      </c>
      <c r="D92">
        <f t="shared" si="8"/>
        <v>8100</v>
      </c>
      <c r="E92">
        <f t="shared" si="9"/>
        <v>7.516413716216741</v>
      </c>
      <c r="F92" s="21">
        <f t="shared" si="10"/>
        <v>6</v>
      </c>
      <c r="G92">
        <f t="shared" si="7"/>
        <v>0</v>
      </c>
      <c r="H92">
        <f t="shared" si="11"/>
        <v>0</v>
      </c>
      <c r="I92">
        <f t="shared" si="11"/>
        <v>0</v>
      </c>
      <c r="J92">
        <f t="shared" si="11"/>
        <v>0</v>
      </c>
      <c r="K92">
        <f t="shared" si="11"/>
        <v>0</v>
      </c>
      <c r="L92">
        <f t="shared" si="11"/>
        <v>1</v>
      </c>
      <c r="M92">
        <f t="shared" si="11"/>
        <v>0</v>
      </c>
      <c r="N92">
        <f t="shared" si="11"/>
        <v>0</v>
      </c>
      <c r="O92">
        <f t="shared" si="11"/>
        <v>0</v>
      </c>
      <c r="P92">
        <f t="shared" si="11"/>
        <v>0</v>
      </c>
      <c r="Q92">
        <f t="shared" si="11"/>
        <v>0</v>
      </c>
      <c r="R92">
        <f t="shared" si="11"/>
        <v>0</v>
      </c>
      <c r="S92" t="e">
        <f>#REF!</f>
        <v>#REF!</v>
      </c>
      <c r="T92" t="e">
        <f>#REF!</f>
        <v>#REF!</v>
      </c>
      <c r="U92" t="e">
        <f>#REF!</f>
        <v>#REF!</v>
      </c>
      <c r="V92" t="e">
        <f>#REF!</f>
        <v>#REF!</v>
      </c>
    </row>
    <row r="93" spans="1:22" x14ac:dyDescent="0.35">
      <c r="A93" s="3">
        <v>35977</v>
      </c>
      <c r="B93" s="4">
        <v>1985.172</v>
      </c>
      <c r="C93">
        <v>91</v>
      </c>
      <c r="D93">
        <f t="shared" si="8"/>
        <v>8281</v>
      </c>
      <c r="E93">
        <f t="shared" si="9"/>
        <v>7.5934608392414624</v>
      </c>
      <c r="F93" s="21">
        <f t="shared" si="10"/>
        <v>7</v>
      </c>
      <c r="G93">
        <f t="shared" si="7"/>
        <v>0</v>
      </c>
      <c r="H93">
        <f t="shared" si="11"/>
        <v>0</v>
      </c>
      <c r="I93">
        <f t="shared" si="11"/>
        <v>0</v>
      </c>
      <c r="J93">
        <f t="shared" si="11"/>
        <v>0</v>
      </c>
      <c r="K93">
        <f t="shared" si="11"/>
        <v>0</v>
      </c>
      <c r="L93">
        <f t="shared" si="11"/>
        <v>0</v>
      </c>
      <c r="M93">
        <f t="shared" si="11"/>
        <v>1</v>
      </c>
      <c r="N93">
        <f t="shared" si="11"/>
        <v>0</v>
      </c>
      <c r="O93">
        <f t="shared" si="11"/>
        <v>0</v>
      </c>
      <c r="P93">
        <f t="shared" si="11"/>
        <v>0</v>
      </c>
      <c r="Q93">
        <f t="shared" si="11"/>
        <v>0</v>
      </c>
      <c r="R93">
        <f t="shared" si="11"/>
        <v>0</v>
      </c>
      <c r="S93" t="e">
        <f>#REF!</f>
        <v>#REF!</v>
      </c>
      <c r="T93" t="e">
        <f>#REF!</f>
        <v>#REF!</v>
      </c>
      <c r="U93" t="e">
        <f>#REF!</f>
        <v>#REF!</v>
      </c>
      <c r="V93" t="e">
        <f>#REF!</f>
        <v>#REF!</v>
      </c>
    </row>
    <row r="94" spans="1:22" x14ac:dyDescent="0.35">
      <c r="A94" s="3">
        <v>36008</v>
      </c>
      <c r="B94" s="4">
        <v>1937.645</v>
      </c>
      <c r="C94">
        <v>92</v>
      </c>
      <c r="D94">
        <f t="shared" si="8"/>
        <v>8464</v>
      </c>
      <c r="E94">
        <f t="shared" si="9"/>
        <v>7.5692285971369033</v>
      </c>
      <c r="F94" s="21">
        <f t="shared" si="10"/>
        <v>8</v>
      </c>
      <c r="G94">
        <f t="shared" si="7"/>
        <v>0</v>
      </c>
      <c r="H94">
        <f t="shared" si="11"/>
        <v>0</v>
      </c>
      <c r="I94">
        <f t="shared" si="11"/>
        <v>0</v>
      </c>
      <c r="J94">
        <f t="shared" si="11"/>
        <v>0</v>
      </c>
      <c r="K94">
        <f t="shared" si="11"/>
        <v>0</v>
      </c>
      <c r="L94">
        <f t="shared" si="11"/>
        <v>0</v>
      </c>
      <c r="M94">
        <f t="shared" si="11"/>
        <v>0</v>
      </c>
      <c r="N94">
        <f t="shared" si="11"/>
        <v>1</v>
      </c>
      <c r="O94">
        <f t="shared" si="11"/>
        <v>0</v>
      </c>
      <c r="P94">
        <f t="shared" si="11"/>
        <v>0</v>
      </c>
      <c r="Q94">
        <f t="shared" si="11"/>
        <v>0</v>
      </c>
      <c r="R94">
        <f t="shared" si="11"/>
        <v>0</v>
      </c>
      <c r="S94" t="e">
        <f>#REF!</f>
        <v>#REF!</v>
      </c>
      <c r="T94" t="e">
        <f>#REF!</f>
        <v>#REF!</v>
      </c>
      <c r="U94" t="e">
        <f>#REF!</f>
        <v>#REF!</v>
      </c>
      <c r="V94" t="e">
        <f>#REF!</f>
        <v>#REF!</v>
      </c>
    </row>
    <row r="95" spans="1:22" x14ac:dyDescent="0.35">
      <c r="A95" s="3">
        <v>36039</v>
      </c>
      <c r="B95" s="4">
        <v>1684.597</v>
      </c>
      <c r="C95">
        <v>93</v>
      </c>
      <c r="D95">
        <f t="shared" si="8"/>
        <v>8649</v>
      </c>
      <c r="E95">
        <f t="shared" si="9"/>
        <v>7.4292816450414962</v>
      </c>
      <c r="F95" s="21">
        <f t="shared" si="10"/>
        <v>9</v>
      </c>
      <c r="G95">
        <f t="shared" si="7"/>
        <v>0</v>
      </c>
      <c r="H95">
        <f t="shared" si="11"/>
        <v>0</v>
      </c>
      <c r="I95">
        <f t="shared" si="11"/>
        <v>0</v>
      </c>
      <c r="J95">
        <f t="shared" si="11"/>
        <v>0</v>
      </c>
      <c r="K95">
        <f t="shared" si="11"/>
        <v>0</v>
      </c>
      <c r="L95">
        <f t="shared" si="11"/>
        <v>0</v>
      </c>
      <c r="M95">
        <f t="shared" si="11"/>
        <v>0</v>
      </c>
      <c r="N95">
        <f t="shared" si="11"/>
        <v>0</v>
      </c>
      <c r="O95">
        <f t="shared" si="11"/>
        <v>1</v>
      </c>
      <c r="P95">
        <f t="shared" si="11"/>
        <v>0</v>
      </c>
      <c r="Q95">
        <f t="shared" si="11"/>
        <v>0</v>
      </c>
      <c r="R95">
        <f t="shared" si="11"/>
        <v>0</v>
      </c>
      <c r="S95" t="e">
        <f>#REF!</f>
        <v>#REF!</v>
      </c>
      <c r="T95" t="e">
        <f>#REF!</f>
        <v>#REF!</v>
      </c>
      <c r="U95" t="e">
        <f>#REF!</f>
        <v>#REF!</v>
      </c>
      <c r="V95" t="e">
        <f>#REF!</f>
        <v>#REF!</v>
      </c>
    </row>
    <row r="96" spans="1:22" x14ac:dyDescent="0.35">
      <c r="A96" s="3">
        <v>36069</v>
      </c>
      <c r="B96" s="4">
        <v>1803.4739999999999</v>
      </c>
      <c r="C96">
        <v>94</v>
      </c>
      <c r="D96">
        <f t="shared" si="8"/>
        <v>8836</v>
      </c>
      <c r="E96">
        <f t="shared" si="9"/>
        <v>7.4974700838271451</v>
      </c>
      <c r="F96" s="21">
        <f t="shared" si="10"/>
        <v>10</v>
      </c>
      <c r="G96">
        <f t="shared" si="7"/>
        <v>0</v>
      </c>
      <c r="H96">
        <f t="shared" si="11"/>
        <v>0</v>
      </c>
      <c r="I96">
        <f t="shared" si="11"/>
        <v>0</v>
      </c>
      <c r="J96">
        <f t="shared" si="11"/>
        <v>0</v>
      </c>
      <c r="K96">
        <f t="shared" si="11"/>
        <v>0</v>
      </c>
      <c r="L96">
        <f t="shared" si="11"/>
        <v>0</v>
      </c>
      <c r="M96">
        <f t="shared" si="11"/>
        <v>0</v>
      </c>
      <c r="N96">
        <f t="shared" si="11"/>
        <v>0</v>
      </c>
      <c r="O96">
        <f t="shared" si="11"/>
        <v>0</v>
      </c>
      <c r="P96">
        <f t="shared" si="11"/>
        <v>1</v>
      </c>
      <c r="Q96">
        <f t="shared" si="11"/>
        <v>0</v>
      </c>
      <c r="R96">
        <f t="shared" si="11"/>
        <v>0</v>
      </c>
      <c r="S96" t="e">
        <f>#REF!</f>
        <v>#REF!</v>
      </c>
      <c r="T96" t="e">
        <f>#REF!</f>
        <v>#REF!</v>
      </c>
      <c r="U96" t="e">
        <f>#REF!</f>
        <v>#REF!</v>
      </c>
      <c r="V96" t="e">
        <f>#REF!</f>
        <v>#REF!</v>
      </c>
    </row>
    <row r="97" spans="1:22" x14ac:dyDescent="0.35">
      <c r="A97" s="3">
        <v>36100</v>
      </c>
      <c r="B97" s="4">
        <v>1828.7139999999999</v>
      </c>
      <c r="C97">
        <v>95</v>
      </c>
      <c r="D97">
        <f t="shared" si="8"/>
        <v>9025</v>
      </c>
      <c r="E97">
        <f t="shared" si="9"/>
        <v>7.5113682665629904</v>
      </c>
      <c r="F97" s="21">
        <f t="shared" si="10"/>
        <v>11</v>
      </c>
      <c r="G97">
        <f t="shared" si="7"/>
        <v>0</v>
      </c>
      <c r="H97">
        <f t="shared" si="11"/>
        <v>0</v>
      </c>
      <c r="I97">
        <f t="shared" si="11"/>
        <v>0</v>
      </c>
      <c r="J97">
        <f t="shared" si="11"/>
        <v>0</v>
      </c>
      <c r="K97">
        <f t="shared" si="11"/>
        <v>0</v>
      </c>
      <c r="L97">
        <f t="shared" si="11"/>
        <v>0</v>
      </c>
      <c r="M97">
        <f t="shared" si="11"/>
        <v>0</v>
      </c>
      <c r="N97">
        <f t="shared" si="11"/>
        <v>0</v>
      </c>
      <c r="O97">
        <f t="shared" si="11"/>
        <v>0</v>
      </c>
      <c r="P97">
        <f t="shared" si="11"/>
        <v>0</v>
      </c>
      <c r="Q97">
        <f t="shared" si="11"/>
        <v>1</v>
      </c>
      <c r="R97">
        <f t="shared" si="11"/>
        <v>0</v>
      </c>
      <c r="S97" t="e">
        <f>#REF!</f>
        <v>#REF!</v>
      </c>
      <c r="T97" t="e">
        <f>#REF!</f>
        <v>#REF!</v>
      </c>
      <c r="U97" t="e">
        <f>#REF!</f>
        <v>#REF!</v>
      </c>
      <c r="V97" t="e">
        <f>#REF!</f>
        <v>#REF!</v>
      </c>
    </row>
    <row r="98" spans="1:22" x14ac:dyDescent="0.35">
      <c r="A98" s="3">
        <v>36130</v>
      </c>
      <c r="B98" s="4">
        <v>1860.7539999999999</v>
      </c>
      <c r="C98">
        <v>96</v>
      </c>
      <c r="D98">
        <f t="shared" si="8"/>
        <v>9216</v>
      </c>
      <c r="E98">
        <f t="shared" si="9"/>
        <v>7.5287370609085409</v>
      </c>
      <c r="F98" s="21">
        <f t="shared" si="10"/>
        <v>12</v>
      </c>
      <c r="G98">
        <f t="shared" si="7"/>
        <v>0</v>
      </c>
      <c r="H98">
        <f t="shared" si="11"/>
        <v>0</v>
      </c>
      <c r="I98">
        <f t="shared" si="11"/>
        <v>0</v>
      </c>
      <c r="J98">
        <f t="shared" si="11"/>
        <v>0</v>
      </c>
      <c r="K98">
        <f t="shared" si="11"/>
        <v>0</v>
      </c>
      <c r="L98">
        <f t="shared" si="11"/>
        <v>0</v>
      </c>
      <c r="M98">
        <f t="shared" si="11"/>
        <v>0</v>
      </c>
      <c r="N98">
        <f t="shared" si="11"/>
        <v>0</v>
      </c>
      <c r="O98">
        <f t="shared" si="11"/>
        <v>0</v>
      </c>
      <c r="P98">
        <f t="shared" si="11"/>
        <v>0</v>
      </c>
      <c r="Q98">
        <f t="shared" si="11"/>
        <v>0</v>
      </c>
      <c r="R98">
        <f t="shared" si="11"/>
        <v>1</v>
      </c>
      <c r="S98" t="e">
        <f>#REF!</f>
        <v>#REF!</v>
      </c>
      <c r="T98" t="e">
        <f>#REF!</f>
        <v>#REF!</v>
      </c>
      <c r="U98" t="e">
        <f>#REF!</f>
        <v>#REF!</v>
      </c>
      <c r="V98" t="e">
        <f>#REF!</f>
        <v>#REF!</v>
      </c>
    </row>
    <row r="99" spans="1:22" x14ac:dyDescent="0.35">
      <c r="A99" s="3">
        <v>36161</v>
      </c>
      <c r="B99" s="4">
        <v>1614.4269999999999</v>
      </c>
      <c r="C99">
        <v>97</v>
      </c>
      <c r="D99">
        <f t="shared" si="8"/>
        <v>9409</v>
      </c>
      <c r="E99">
        <f t="shared" si="9"/>
        <v>7.3867353739391746</v>
      </c>
      <c r="F99" s="21">
        <f t="shared" si="10"/>
        <v>1</v>
      </c>
      <c r="G99">
        <f t="shared" si="7"/>
        <v>1</v>
      </c>
      <c r="H99">
        <f t="shared" si="11"/>
        <v>0</v>
      </c>
      <c r="I99">
        <f t="shared" si="11"/>
        <v>0</v>
      </c>
      <c r="J99">
        <f t="shared" si="11"/>
        <v>0</v>
      </c>
      <c r="K99">
        <f t="shared" si="11"/>
        <v>0</v>
      </c>
      <c r="L99">
        <f t="shared" si="11"/>
        <v>0</v>
      </c>
      <c r="M99">
        <f t="shared" si="11"/>
        <v>0</v>
      </c>
      <c r="N99">
        <f t="shared" si="11"/>
        <v>0</v>
      </c>
      <c r="O99">
        <f t="shared" si="11"/>
        <v>0</v>
      </c>
      <c r="P99">
        <f t="shared" si="11"/>
        <v>0</v>
      </c>
      <c r="Q99">
        <f t="shared" si="11"/>
        <v>0</v>
      </c>
      <c r="R99">
        <f t="shared" si="11"/>
        <v>0</v>
      </c>
      <c r="S99" t="e">
        <f>#REF!</f>
        <v>#REF!</v>
      </c>
      <c r="T99" t="e">
        <f>#REF!</f>
        <v>#REF!</v>
      </c>
      <c r="U99" t="e">
        <f>#REF!</f>
        <v>#REF!</v>
      </c>
      <c r="V99" t="e">
        <f>#REF!</f>
        <v>#REF!</v>
      </c>
    </row>
    <row r="100" spans="1:22" x14ac:dyDescent="0.35">
      <c r="A100" s="3">
        <v>36192</v>
      </c>
      <c r="B100" s="4">
        <v>1561.8040000000001</v>
      </c>
      <c r="C100">
        <v>98</v>
      </c>
      <c r="D100">
        <f t="shared" si="8"/>
        <v>9604</v>
      </c>
      <c r="E100">
        <f t="shared" si="9"/>
        <v>7.3535968423726894</v>
      </c>
      <c r="F100" s="21">
        <f t="shared" si="10"/>
        <v>2</v>
      </c>
      <c r="G100">
        <f t="shared" si="7"/>
        <v>0</v>
      </c>
      <c r="H100">
        <f t="shared" si="11"/>
        <v>1</v>
      </c>
      <c r="I100">
        <f t="shared" si="11"/>
        <v>0</v>
      </c>
      <c r="J100">
        <f t="shared" si="11"/>
        <v>0</v>
      </c>
      <c r="K100">
        <f t="shared" si="11"/>
        <v>0</v>
      </c>
      <c r="L100">
        <f t="shared" si="11"/>
        <v>0</v>
      </c>
      <c r="M100">
        <f t="shared" si="11"/>
        <v>0</v>
      </c>
      <c r="N100">
        <f t="shared" si="11"/>
        <v>0</v>
      </c>
      <c r="O100">
        <f t="shared" si="11"/>
        <v>0</v>
      </c>
      <c r="P100">
        <f t="shared" si="11"/>
        <v>0</v>
      </c>
      <c r="Q100">
        <f t="shared" si="11"/>
        <v>0</v>
      </c>
      <c r="R100">
        <f t="shared" si="11"/>
        <v>0</v>
      </c>
      <c r="S100" t="e">
        <f>#REF!</f>
        <v>#REF!</v>
      </c>
      <c r="T100" t="e">
        <f>#REF!</f>
        <v>#REF!</v>
      </c>
      <c r="U100" t="e">
        <f>#REF!</f>
        <v>#REF!</v>
      </c>
      <c r="V100" t="e">
        <f>#REF!</f>
        <v>#REF!</v>
      </c>
    </row>
    <row r="101" spans="1:22" x14ac:dyDescent="0.35">
      <c r="A101" s="3">
        <v>36220</v>
      </c>
      <c r="B101" s="4">
        <v>1848.3330000000001</v>
      </c>
      <c r="C101">
        <v>99</v>
      </c>
      <c r="D101">
        <f t="shared" si="8"/>
        <v>9801</v>
      </c>
      <c r="E101">
        <f t="shared" si="9"/>
        <v>7.5220394307736909</v>
      </c>
      <c r="F101" s="21">
        <f t="shared" si="10"/>
        <v>3</v>
      </c>
      <c r="G101">
        <f t="shared" si="7"/>
        <v>0</v>
      </c>
      <c r="H101">
        <f t="shared" si="11"/>
        <v>0</v>
      </c>
      <c r="I101">
        <f t="shared" si="11"/>
        <v>1</v>
      </c>
      <c r="J101">
        <f t="shared" si="11"/>
        <v>0</v>
      </c>
      <c r="K101">
        <f t="shared" si="11"/>
        <v>0</v>
      </c>
      <c r="L101">
        <f t="shared" si="11"/>
        <v>0</v>
      </c>
      <c r="M101">
        <f t="shared" si="11"/>
        <v>0</v>
      </c>
      <c r="N101">
        <f t="shared" si="11"/>
        <v>0</v>
      </c>
      <c r="O101">
        <f t="shared" si="11"/>
        <v>0</v>
      </c>
      <c r="P101">
        <f t="shared" si="11"/>
        <v>0</v>
      </c>
      <c r="Q101">
        <f t="shared" si="11"/>
        <v>0</v>
      </c>
      <c r="R101">
        <f t="shared" si="11"/>
        <v>0</v>
      </c>
      <c r="S101" t="e">
        <f>#REF!</f>
        <v>#REF!</v>
      </c>
      <c r="T101" t="e">
        <f>#REF!</f>
        <v>#REF!</v>
      </c>
      <c r="U101" t="e">
        <f>#REF!</f>
        <v>#REF!</v>
      </c>
      <c r="V101" t="e">
        <f>#REF!</f>
        <v>#REF!</v>
      </c>
    </row>
    <row r="102" spans="1:22" x14ac:dyDescent="0.35">
      <c r="A102" s="3">
        <v>36251</v>
      </c>
      <c r="B102" s="4">
        <v>1853.72</v>
      </c>
      <c r="C102">
        <v>100</v>
      </c>
      <c r="D102">
        <f t="shared" si="8"/>
        <v>10000</v>
      </c>
      <c r="E102">
        <f t="shared" si="9"/>
        <v>7.524949709909186</v>
      </c>
      <c r="F102" s="21">
        <f t="shared" si="10"/>
        <v>4</v>
      </c>
      <c r="G102">
        <f t="shared" si="7"/>
        <v>0</v>
      </c>
      <c r="H102">
        <f t="shared" si="11"/>
        <v>0</v>
      </c>
      <c r="I102">
        <f t="shared" si="11"/>
        <v>0</v>
      </c>
      <c r="J102">
        <f t="shared" si="11"/>
        <v>1</v>
      </c>
      <c r="K102">
        <f t="shared" si="11"/>
        <v>0</v>
      </c>
      <c r="L102">
        <f t="shared" si="11"/>
        <v>0</v>
      </c>
      <c r="M102">
        <f t="shared" si="11"/>
        <v>0</v>
      </c>
      <c r="N102">
        <f t="shared" si="11"/>
        <v>0</v>
      </c>
      <c r="O102">
        <f t="shared" si="11"/>
        <v>0</v>
      </c>
      <c r="P102">
        <f t="shared" si="11"/>
        <v>0</v>
      </c>
      <c r="Q102">
        <f t="shared" si="11"/>
        <v>0</v>
      </c>
      <c r="R102">
        <f t="shared" si="11"/>
        <v>0</v>
      </c>
      <c r="S102" t="e">
        <f>#REF!</f>
        <v>#REF!</v>
      </c>
      <c r="T102" t="e">
        <f>#REF!</f>
        <v>#REF!</v>
      </c>
      <c r="U102" t="e">
        <f>#REF!</f>
        <v>#REF!</v>
      </c>
      <c r="V102" t="e">
        <f>#REF!</f>
        <v>#REF!</v>
      </c>
    </row>
    <row r="103" spans="1:22" x14ac:dyDescent="0.35">
      <c r="A103" s="3">
        <v>36281</v>
      </c>
      <c r="B103" s="4">
        <v>1858.498</v>
      </c>
      <c r="C103">
        <v>101</v>
      </c>
      <c r="D103">
        <f t="shared" si="8"/>
        <v>10201</v>
      </c>
      <c r="E103">
        <f t="shared" si="9"/>
        <v>7.5275239136000582</v>
      </c>
      <c r="F103" s="21">
        <f t="shared" si="10"/>
        <v>5</v>
      </c>
      <c r="G103">
        <f t="shared" si="7"/>
        <v>0</v>
      </c>
      <c r="H103">
        <f t="shared" si="11"/>
        <v>0</v>
      </c>
      <c r="I103">
        <f t="shared" si="11"/>
        <v>0</v>
      </c>
      <c r="J103">
        <f t="shared" si="11"/>
        <v>0</v>
      </c>
      <c r="K103">
        <f t="shared" si="11"/>
        <v>1</v>
      </c>
      <c r="L103">
        <f t="shared" si="11"/>
        <v>0</v>
      </c>
      <c r="M103">
        <f t="shared" si="11"/>
        <v>0</v>
      </c>
      <c r="N103">
        <f t="shared" ref="H103:R126" si="12">IF($F103=N$1,1,0)</f>
        <v>0</v>
      </c>
      <c r="O103">
        <f t="shared" si="12"/>
        <v>0</v>
      </c>
      <c r="P103">
        <f t="shared" si="12"/>
        <v>0</v>
      </c>
      <c r="Q103">
        <f t="shared" si="12"/>
        <v>0</v>
      </c>
      <c r="R103">
        <f t="shared" si="12"/>
        <v>0</v>
      </c>
      <c r="S103" t="e">
        <f>#REF!</f>
        <v>#REF!</v>
      </c>
      <c r="T103" t="e">
        <f>#REF!</f>
        <v>#REF!</v>
      </c>
      <c r="U103" t="e">
        <f>#REF!</f>
        <v>#REF!</v>
      </c>
      <c r="V103" t="e">
        <f>#REF!</f>
        <v>#REF!</v>
      </c>
    </row>
    <row r="104" spans="1:22" x14ac:dyDescent="0.35">
      <c r="A104" s="3">
        <v>36312</v>
      </c>
      <c r="B104" s="4">
        <v>1876.8520000000001</v>
      </c>
      <c r="C104">
        <v>102</v>
      </c>
      <c r="D104">
        <f t="shared" si="8"/>
        <v>10404</v>
      </c>
      <c r="E104">
        <f t="shared" si="9"/>
        <v>7.5373511842502543</v>
      </c>
      <c r="F104" s="21">
        <f t="shared" si="10"/>
        <v>6</v>
      </c>
      <c r="G104">
        <f t="shared" si="7"/>
        <v>0</v>
      </c>
      <c r="H104">
        <f t="shared" si="12"/>
        <v>0</v>
      </c>
      <c r="I104">
        <f t="shared" si="12"/>
        <v>0</v>
      </c>
      <c r="J104">
        <f t="shared" si="12"/>
        <v>0</v>
      </c>
      <c r="K104">
        <f t="shared" si="12"/>
        <v>0</v>
      </c>
      <c r="L104">
        <f t="shared" si="12"/>
        <v>1</v>
      </c>
      <c r="M104">
        <f t="shared" si="12"/>
        <v>0</v>
      </c>
      <c r="N104">
        <f t="shared" si="12"/>
        <v>0</v>
      </c>
      <c r="O104">
        <f t="shared" si="12"/>
        <v>0</v>
      </c>
      <c r="P104">
        <f t="shared" si="12"/>
        <v>0</v>
      </c>
      <c r="Q104">
        <f t="shared" si="12"/>
        <v>0</v>
      </c>
      <c r="R104">
        <f t="shared" si="12"/>
        <v>0</v>
      </c>
      <c r="S104" t="e">
        <f>#REF!</f>
        <v>#REF!</v>
      </c>
      <c r="T104" t="e">
        <f>#REF!</f>
        <v>#REF!</v>
      </c>
      <c r="U104" t="e">
        <f>#REF!</f>
        <v>#REF!</v>
      </c>
      <c r="V104" t="e">
        <f>#REF!</f>
        <v>#REF!</v>
      </c>
    </row>
    <row r="105" spans="1:22" x14ac:dyDescent="0.35">
      <c r="A105" s="3">
        <v>36342</v>
      </c>
      <c r="B105" s="4">
        <v>1982.7429999999999</v>
      </c>
      <c r="C105">
        <v>103</v>
      </c>
      <c r="D105">
        <f t="shared" si="8"/>
        <v>10609</v>
      </c>
      <c r="E105">
        <f t="shared" si="9"/>
        <v>7.5922365185070646</v>
      </c>
      <c r="F105" s="21">
        <f t="shared" si="10"/>
        <v>7</v>
      </c>
      <c r="G105">
        <f t="shared" si="7"/>
        <v>0</v>
      </c>
      <c r="H105">
        <f t="shared" si="12"/>
        <v>0</v>
      </c>
      <c r="I105">
        <f t="shared" si="12"/>
        <v>0</v>
      </c>
      <c r="J105">
        <f t="shared" si="12"/>
        <v>0</v>
      </c>
      <c r="K105">
        <f t="shared" si="12"/>
        <v>0</v>
      </c>
      <c r="L105">
        <f t="shared" si="12"/>
        <v>0</v>
      </c>
      <c r="M105">
        <f t="shared" si="12"/>
        <v>1</v>
      </c>
      <c r="N105">
        <f t="shared" si="12"/>
        <v>0</v>
      </c>
      <c r="O105">
        <f t="shared" si="12"/>
        <v>0</v>
      </c>
      <c r="P105">
        <f t="shared" si="12"/>
        <v>0</v>
      </c>
      <c r="Q105">
        <f t="shared" si="12"/>
        <v>0</v>
      </c>
      <c r="R105">
        <f t="shared" si="12"/>
        <v>0</v>
      </c>
      <c r="S105" t="e">
        <f>#REF!</f>
        <v>#REF!</v>
      </c>
      <c r="T105" t="e">
        <f>#REF!</f>
        <v>#REF!</v>
      </c>
      <c r="U105" t="e">
        <f>#REF!</f>
        <v>#REF!</v>
      </c>
      <c r="V105" t="e">
        <f>#REF!</f>
        <v>#REF!</v>
      </c>
    </row>
    <row r="106" spans="1:22" x14ac:dyDescent="0.35">
      <c r="A106" s="3">
        <v>36373</v>
      </c>
      <c r="B106" s="4">
        <v>1965.002</v>
      </c>
      <c r="C106">
        <v>104</v>
      </c>
      <c r="D106">
        <f t="shared" si="8"/>
        <v>10816</v>
      </c>
      <c r="E106">
        <f t="shared" si="9"/>
        <v>7.5832485421145481</v>
      </c>
      <c r="F106" s="21">
        <f t="shared" si="10"/>
        <v>8</v>
      </c>
      <c r="G106">
        <f t="shared" si="7"/>
        <v>0</v>
      </c>
      <c r="H106">
        <f t="shared" si="12"/>
        <v>0</v>
      </c>
      <c r="I106">
        <f t="shared" si="12"/>
        <v>0</v>
      </c>
      <c r="J106">
        <f t="shared" si="12"/>
        <v>0</v>
      </c>
      <c r="K106">
        <f t="shared" si="12"/>
        <v>0</v>
      </c>
      <c r="L106">
        <f t="shared" si="12"/>
        <v>0</v>
      </c>
      <c r="M106">
        <f t="shared" si="12"/>
        <v>0</v>
      </c>
      <c r="N106">
        <f t="shared" si="12"/>
        <v>1</v>
      </c>
      <c r="O106">
        <f t="shared" si="12"/>
        <v>0</v>
      </c>
      <c r="P106">
        <f t="shared" si="12"/>
        <v>0</v>
      </c>
      <c r="Q106">
        <f t="shared" si="12"/>
        <v>0</v>
      </c>
      <c r="R106">
        <f t="shared" si="12"/>
        <v>0</v>
      </c>
      <c r="S106" t="e">
        <f>#REF!</f>
        <v>#REF!</v>
      </c>
      <c r="T106" t="e">
        <f>#REF!</f>
        <v>#REF!</v>
      </c>
      <c r="U106" t="e">
        <f>#REF!</f>
        <v>#REF!</v>
      </c>
      <c r="V106" t="e">
        <f>#REF!</f>
        <v>#REF!</v>
      </c>
    </row>
    <row r="107" spans="1:22" x14ac:dyDescent="0.35">
      <c r="A107" s="3">
        <v>36404</v>
      </c>
      <c r="B107" s="4">
        <v>1622.373</v>
      </c>
      <c r="C107">
        <v>105</v>
      </c>
      <c r="D107">
        <f t="shared" si="8"/>
        <v>11025</v>
      </c>
      <c r="E107">
        <f t="shared" si="9"/>
        <v>7.3916451712465499</v>
      </c>
      <c r="F107" s="21">
        <f t="shared" si="10"/>
        <v>9</v>
      </c>
      <c r="G107">
        <f t="shared" si="7"/>
        <v>0</v>
      </c>
      <c r="H107">
        <f t="shared" si="12"/>
        <v>0</v>
      </c>
      <c r="I107">
        <f t="shared" si="12"/>
        <v>0</v>
      </c>
      <c r="J107">
        <f t="shared" si="12"/>
        <v>0</v>
      </c>
      <c r="K107">
        <f t="shared" si="12"/>
        <v>0</v>
      </c>
      <c r="L107">
        <f t="shared" si="12"/>
        <v>0</v>
      </c>
      <c r="M107">
        <f t="shared" si="12"/>
        <v>0</v>
      </c>
      <c r="N107">
        <f t="shared" si="12"/>
        <v>0</v>
      </c>
      <c r="O107">
        <f t="shared" si="12"/>
        <v>1</v>
      </c>
      <c r="P107">
        <f t="shared" si="12"/>
        <v>0</v>
      </c>
      <c r="Q107">
        <f t="shared" si="12"/>
        <v>0</v>
      </c>
      <c r="R107">
        <f t="shared" si="12"/>
        <v>0</v>
      </c>
      <c r="S107" t="e">
        <f>#REF!</f>
        <v>#REF!</v>
      </c>
      <c r="T107" t="e">
        <f>#REF!</f>
        <v>#REF!</v>
      </c>
      <c r="U107" t="e">
        <f>#REF!</f>
        <v>#REF!</v>
      </c>
      <c r="V107" t="e">
        <f>#REF!</f>
        <v>#REF!</v>
      </c>
    </row>
    <row r="108" spans="1:22" x14ac:dyDescent="0.35">
      <c r="A108" s="3">
        <v>36434</v>
      </c>
      <c r="B108" s="4">
        <v>1819.664</v>
      </c>
      <c r="C108">
        <v>106</v>
      </c>
      <c r="D108">
        <f t="shared" si="8"/>
        <v>11236</v>
      </c>
      <c r="E108">
        <f t="shared" si="9"/>
        <v>7.5064071476427081</v>
      </c>
      <c r="F108" s="21">
        <f t="shared" si="10"/>
        <v>10</v>
      </c>
      <c r="G108">
        <f t="shared" si="7"/>
        <v>0</v>
      </c>
      <c r="H108">
        <f t="shared" si="12"/>
        <v>0</v>
      </c>
      <c r="I108">
        <f t="shared" si="12"/>
        <v>0</v>
      </c>
      <c r="J108">
        <f t="shared" si="12"/>
        <v>0</v>
      </c>
      <c r="K108">
        <f t="shared" si="12"/>
        <v>0</v>
      </c>
      <c r="L108">
        <f t="shared" si="12"/>
        <v>0</v>
      </c>
      <c r="M108">
        <f t="shared" si="12"/>
        <v>0</v>
      </c>
      <c r="N108">
        <f t="shared" si="12"/>
        <v>0</v>
      </c>
      <c r="O108">
        <f t="shared" si="12"/>
        <v>0</v>
      </c>
      <c r="P108">
        <f t="shared" si="12"/>
        <v>1</v>
      </c>
      <c r="Q108">
        <f t="shared" si="12"/>
        <v>0</v>
      </c>
      <c r="R108">
        <f t="shared" si="12"/>
        <v>0</v>
      </c>
      <c r="S108" t="e">
        <f>#REF!</f>
        <v>#REF!</v>
      </c>
      <c r="T108" t="e">
        <f>#REF!</f>
        <v>#REF!</v>
      </c>
      <c r="U108" t="e">
        <f>#REF!</f>
        <v>#REF!</v>
      </c>
      <c r="V108" t="e">
        <f>#REF!</f>
        <v>#REF!</v>
      </c>
    </row>
    <row r="109" spans="1:22" x14ac:dyDescent="0.35">
      <c r="A109" s="3">
        <v>36465</v>
      </c>
      <c r="B109" s="4">
        <v>1864.309</v>
      </c>
      <c r="C109">
        <v>107</v>
      </c>
      <c r="D109">
        <f t="shared" si="8"/>
        <v>11449</v>
      </c>
      <c r="E109">
        <f t="shared" si="9"/>
        <v>7.5306457540389777</v>
      </c>
      <c r="F109" s="21">
        <f t="shared" si="10"/>
        <v>11</v>
      </c>
      <c r="G109">
        <f t="shared" si="7"/>
        <v>0</v>
      </c>
      <c r="H109">
        <f t="shared" si="12"/>
        <v>0</v>
      </c>
      <c r="I109">
        <f t="shared" si="12"/>
        <v>0</v>
      </c>
      <c r="J109">
        <f t="shared" si="12"/>
        <v>0</v>
      </c>
      <c r="K109">
        <f t="shared" si="12"/>
        <v>0</v>
      </c>
      <c r="L109">
        <f t="shared" si="12"/>
        <v>0</v>
      </c>
      <c r="M109">
        <f t="shared" si="12"/>
        <v>0</v>
      </c>
      <c r="N109">
        <f t="shared" si="12"/>
        <v>0</v>
      </c>
      <c r="O109">
        <f t="shared" si="12"/>
        <v>0</v>
      </c>
      <c r="P109">
        <f t="shared" si="12"/>
        <v>0</v>
      </c>
      <c r="Q109">
        <f t="shared" si="12"/>
        <v>1</v>
      </c>
      <c r="R109">
        <f t="shared" si="12"/>
        <v>0</v>
      </c>
      <c r="S109" t="e">
        <f>#REF!</f>
        <v>#REF!</v>
      </c>
      <c r="T109" t="e">
        <f>#REF!</f>
        <v>#REF!</v>
      </c>
      <c r="U109" t="e">
        <f>#REF!</f>
        <v>#REF!</v>
      </c>
      <c r="V109" t="e">
        <f>#REF!</f>
        <v>#REF!</v>
      </c>
    </row>
    <row r="110" spans="1:22" x14ac:dyDescent="0.35">
      <c r="A110" s="3">
        <v>36495</v>
      </c>
      <c r="B110" s="4">
        <v>1851.4349999999999</v>
      </c>
      <c r="C110">
        <v>108</v>
      </c>
      <c r="D110">
        <f t="shared" si="8"/>
        <v>11664</v>
      </c>
      <c r="E110">
        <f t="shared" si="9"/>
        <v>7.5237162930671468</v>
      </c>
      <c r="F110" s="21">
        <f t="shared" si="10"/>
        <v>12</v>
      </c>
      <c r="G110">
        <f t="shared" si="7"/>
        <v>0</v>
      </c>
      <c r="H110">
        <f t="shared" si="12"/>
        <v>0</v>
      </c>
      <c r="I110">
        <f t="shared" si="12"/>
        <v>0</v>
      </c>
      <c r="J110">
        <f t="shared" si="12"/>
        <v>0</v>
      </c>
      <c r="K110">
        <f t="shared" si="12"/>
        <v>0</v>
      </c>
      <c r="L110">
        <f t="shared" si="12"/>
        <v>0</v>
      </c>
      <c r="M110">
        <f t="shared" si="12"/>
        <v>0</v>
      </c>
      <c r="N110">
        <f t="shared" si="12"/>
        <v>0</v>
      </c>
      <c r="O110">
        <f t="shared" si="12"/>
        <v>0</v>
      </c>
      <c r="P110">
        <f t="shared" si="12"/>
        <v>0</v>
      </c>
      <c r="Q110">
        <f t="shared" si="12"/>
        <v>0</v>
      </c>
      <c r="R110">
        <f t="shared" si="12"/>
        <v>1</v>
      </c>
      <c r="S110" t="e">
        <f>#REF!</f>
        <v>#REF!</v>
      </c>
      <c r="T110" t="e">
        <f>#REF!</f>
        <v>#REF!</v>
      </c>
      <c r="U110" t="e">
        <f>#REF!</f>
        <v>#REF!</v>
      </c>
      <c r="V110" t="e">
        <f>#REF!</f>
        <v>#REF!</v>
      </c>
    </row>
    <row r="111" spans="1:22" x14ac:dyDescent="0.35">
      <c r="A111" s="3">
        <v>36526</v>
      </c>
      <c r="B111" s="4">
        <v>1558.66</v>
      </c>
      <c r="C111">
        <v>109</v>
      </c>
      <c r="D111">
        <f t="shared" si="8"/>
        <v>11881</v>
      </c>
      <c r="E111">
        <f t="shared" si="9"/>
        <v>7.3515817567547366</v>
      </c>
      <c r="F111" s="21">
        <f t="shared" si="10"/>
        <v>1</v>
      </c>
      <c r="G111">
        <f t="shared" si="7"/>
        <v>1</v>
      </c>
      <c r="H111">
        <f t="shared" si="12"/>
        <v>0</v>
      </c>
      <c r="I111">
        <f t="shared" si="12"/>
        <v>0</v>
      </c>
      <c r="J111">
        <f t="shared" si="12"/>
        <v>0</v>
      </c>
      <c r="K111">
        <f t="shared" si="12"/>
        <v>0</v>
      </c>
      <c r="L111">
        <f t="shared" si="12"/>
        <v>0</v>
      </c>
      <c r="M111">
        <f t="shared" si="12"/>
        <v>0</v>
      </c>
      <c r="N111">
        <f t="shared" si="12"/>
        <v>0</v>
      </c>
      <c r="O111">
        <f t="shared" si="12"/>
        <v>0</v>
      </c>
      <c r="P111">
        <f t="shared" si="12"/>
        <v>0</v>
      </c>
      <c r="Q111">
        <f t="shared" si="12"/>
        <v>0</v>
      </c>
      <c r="R111">
        <f t="shared" si="12"/>
        <v>0</v>
      </c>
      <c r="S111" t="e">
        <f>#REF!</f>
        <v>#REF!</v>
      </c>
      <c r="T111" t="e">
        <f>#REF!</f>
        <v>#REF!</v>
      </c>
      <c r="U111" t="e">
        <f>#REF!</f>
        <v>#REF!</v>
      </c>
      <c r="V111" t="e">
        <f>#REF!</f>
        <v>#REF!</v>
      </c>
    </row>
    <row r="112" spans="1:22" x14ac:dyDescent="0.35">
      <c r="A112" s="3">
        <v>36557</v>
      </c>
      <c r="B112" s="4">
        <v>1628.9280000000001</v>
      </c>
      <c r="C112">
        <v>110</v>
      </c>
      <c r="D112">
        <f t="shared" si="8"/>
        <v>12100</v>
      </c>
      <c r="E112">
        <f t="shared" si="9"/>
        <v>7.3956774087302177</v>
      </c>
      <c r="F112" s="21">
        <f t="shared" si="10"/>
        <v>2</v>
      </c>
      <c r="G112">
        <f t="shared" si="7"/>
        <v>0</v>
      </c>
      <c r="H112">
        <f t="shared" si="12"/>
        <v>1</v>
      </c>
      <c r="I112">
        <f t="shared" si="12"/>
        <v>0</v>
      </c>
      <c r="J112">
        <f t="shared" si="12"/>
        <v>0</v>
      </c>
      <c r="K112">
        <f t="shared" si="12"/>
        <v>0</v>
      </c>
      <c r="L112">
        <f t="shared" si="12"/>
        <v>0</v>
      </c>
      <c r="M112">
        <f t="shared" si="12"/>
        <v>0</v>
      </c>
      <c r="N112">
        <f t="shared" si="12"/>
        <v>0</v>
      </c>
      <c r="O112">
        <f t="shared" si="12"/>
        <v>0</v>
      </c>
      <c r="P112">
        <f t="shared" si="12"/>
        <v>0</v>
      </c>
      <c r="Q112">
        <f t="shared" si="12"/>
        <v>0</v>
      </c>
      <c r="R112">
        <f t="shared" si="12"/>
        <v>0</v>
      </c>
      <c r="S112" t="e">
        <f>#REF!</f>
        <v>#REF!</v>
      </c>
      <c r="T112" t="e">
        <f>#REF!</f>
        <v>#REF!</v>
      </c>
      <c r="U112" t="e">
        <f>#REF!</f>
        <v>#REF!</v>
      </c>
      <c r="V112" t="e">
        <f>#REF!</f>
        <v>#REF!</v>
      </c>
    </row>
    <row r="113" spans="1:22" x14ac:dyDescent="0.35">
      <c r="A113" s="3">
        <v>36586</v>
      </c>
      <c r="B113" s="4">
        <v>1931.538</v>
      </c>
      <c r="C113">
        <v>111</v>
      </c>
      <c r="D113">
        <f t="shared" si="8"/>
        <v>12321</v>
      </c>
      <c r="E113">
        <f t="shared" si="9"/>
        <v>7.5660718557414395</v>
      </c>
      <c r="F113" s="21">
        <f t="shared" si="10"/>
        <v>3</v>
      </c>
      <c r="G113">
        <f t="shared" si="7"/>
        <v>0</v>
      </c>
      <c r="H113">
        <f t="shared" si="12"/>
        <v>0</v>
      </c>
      <c r="I113">
        <f t="shared" si="12"/>
        <v>1</v>
      </c>
      <c r="J113">
        <f t="shared" si="12"/>
        <v>0</v>
      </c>
      <c r="K113">
        <f t="shared" si="12"/>
        <v>0</v>
      </c>
      <c r="L113">
        <f t="shared" si="12"/>
        <v>0</v>
      </c>
      <c r="M113">
        <f t="shared" si="12"/>
        <v>0</v>
      </c>
      <c r="N113">
        <f t="shared" si="12"/>
        <v>0</v>
      </c>
      <c r="O113">
        <f t="shared" si="12"/>
        <v>0</v>
      </c>
      <c r="P113">
        <f t="shared" si="12"/>
        <v>0</v>
      </c>
      <c r="Q113">
        <f t="shared" si="12"/>
        <v>0</v>
      </c>
      <c r="R113">
        <f t="shared" si="12"/>
        <v>0</v>
      </c>
      <c r="S113" t="e">
        <f>#REF!</f>
        <v>#REF!</v>
      </c>
      <c r="T113" t="e">
        <f>#REF!</f>
        <v>#REF!</v>
      </c>
      <c r="U113" t="e">
        <f>#REF!</f>
        <v>#REF!</v>
      </c>
      <c r="V113" t="e">
        <f>#REF!</f>
        <v>#REF!</v>
      </c>
    </row>
    <row r="114" spans="1:22" x14ac:dyDescent="0.35">
      <c r="A114" s="3">
        <v>36617</v>
      </c>
      <c r="B114" s="4">
        <v>1988.4929999999999</v>
      </c>
      <c r="C114">
        <v>112</v>
      </c>
      <c r="D114">
        <f t="shared" si="8"/>
        <v>12544</v>
      </c>
      <c r="E114">
        <f t="shared" si="9"/>
        <v>7.5951323444001613</v>
      </c>
      <c r="F114" s="21">
        <f t="shared" si="10"/>
        <v>4</v>
      </c>
      <c r="G114">
        <f t="shared" si="7"/>
        <v>0</v>
      </c>
      <c r="H114">
        <f t="shared" si="12"/>
        <v>0</v>
      </c>
      <c r="I114">
        <f t="shared" si="12"/>
        <v>0</v>
      </c>
      <c r="J114">
        <f t="shared" si="12"/>
        <v>1</v>
      </c>
      <c r="K114">
        <f t="shared" si="12"/>
        <v>0</v>
      </c>
      <c r="L114">
        <f t="shared" si="12"/>
        <v>0</v>
      </c>
      <c r="M114">
        <f t="shared" si="12"/>
        <v>0</v>
      </c>
      <c r="N114">
        <f t="shared" si="12"/>
        <v>0</v>
      </c>
      <c r="O114">
        <f t="shared" si="12"/>
        <v>0</v>
      </c>
      <c r="P114">
        <f t="shared" si="12"/>
        <v>0</v>
      </c>
      <c r="Q114">
        <f t="shared" si="12"/>
        <v>0</v>
      </c>
      <c r="R114">
        <f t="shared" si="12"/>
        <v>0</v>
      </c>
      <c r="S114" t="e">
        <f>#REF!</f>
        <v>#REF!</v>
      </c>
      <c r="T114" t="e">
        <f>#REF!</f>
        <v>#REF!</v>
      </c>
      <c r="U114" t="e">
        <f>#REF!</f>
        <v>#REF!</v>
      </c>
      <c r="V114" t="e">
        <f>#REF!</f>
        <v>#REF!</v>
      </c>
    </row>
    <row r="115" spans="1:22" x14ac:dyDescent="0.35">
      <c r="A115" s="3">
        <v>36647</v>
      </c>
      <c r="B115" s="4">
        <v>2004.3009999999999</v>
      </c>
      <c r="C115">
        <v>113</v>
      </c>
      <c r="D115">
        <f t="shared" si="8"/>
        <v>12769</v>
      </c>
      <c r="E115">
        <f t="shared" si="9"/>
        <v>7.6030506505267228</v>
      </c>
      <c r="F115" s="21">
        <f t="shared" si="10"/>
        <v>5</v>
      </c>
      <c r="G115">
        <f t="shared" si="7"/>
        <v>0</v>
      </c>
      <c r="H115">
        <f t="shared" si="12"/>
        <v>0</v>
      </c>
      <c r="I115">
        <f t="shared" si="12"/>
        <v>0</v>
      </c>
      <c r="J115">
        <f t="shared" si="12"/>
        <v>0</v>
      </c>
      <c r="K115">
        <f t="shared" si="12"/>
        <v>1</v>
      </c>
      <c r="L115">
        <f t="shared" si="12"/>
        <v>0</v>
      </c>
      <c r="M115">
        <f t="shared" si="12"/>
        <v>0</v>
      </c>
      <c r="N115">
        <f t="shared" si="12"/>
        <v>0</v>
      </c>
      <c r="O115">
        <f t="shared" si="12"/>
        <v>0</v>
      </c>
      <c r="P115">
        <f t="shared" si="12"/>
        <v>0</v>
      </c>
      <c r="Q115">
        <f t="shared" si="12"/>
        <v>0</v>
      </c>
      <c r="R115">
        <f t="shared" si="12"/>
        <v>0</v>
      </c>
      <c r="S115" t="e">
        <f>#REF!</f>
        <v>#REF!</v>
      </c>
      <c r="T115" t="e">
        <f>#REF!</f>
        <v>#REF!</v>
      </c>
      <c r="U115" t="e">
        <f>#REF!</f>
        <v>#REF!</v>
      </c>
      <c r="V115" t="e">
        <f>#REF!</f>
        <v>#REF!</v>
      </c>
    </row>
    <row r="116" spans="1:22" x14ac:dyDescent="0.35">
      <c r="A116" s="3">
        <v>36678</v>
      </c>
      <c r="B116" s="4">
        <v>2024.7629999999999</v>
      </c>
      <c r="C116">
        <v>114</v>
      </c>
      <c r="D116">
        <f t="shared" si="8"/>
        <v>12996</v>
      </c>
      <c r="E116">
        <f t="shared" si="9"/>
        <v>7.6132079356542341</v>
      </c>
      <c r="F116" s="21">
        <f t="shared" si="10"/>
        <v>6</v>
      </c>
      <c r="G116">
        <f t="shared" si="7"/>
        <v>0</v>
      </c>
      <c r="H116">
        <f t="shared" si="12"/>
        <v>0</v>
      </c>
      <c r="I116">
        <f t="shared" si="12"/>
        <v>0</v>
      </c>
      <c r="J116">
        <f t="shared" si="12"/>
        <v>0</v>
      </c>
      <c r="K116">
        <f t="shared" si="12"/>
        <v>0</v>
      </c>
      <c r="L116">
        <f t="shared" si="12"/>
        <v>1</v>
      </c>
      <c r="M116">
        <f t="shared" si="12"/>
        <v>0</v>
      </c>
      <c r="N116">
        <f t="shared" si="12"/>
        <v>0</v>
      </c>
      <c r="O116">
        <f t="shared" si="12"/>
        <v>0</v>
      </c>
      <c r="P116">
        <f t="shared" si="12"/>
        <v>0</v>
      </c>
      <c r="Q116">
        <f t="shared" si="12"/>
        <v>0</v>
      </c>
      <c r="R116">
        <f t="shared" si="12"/>
        <v>0</v>
      </c>
      <c r="S116" t="e">
        <f>#REF!</f>
        <v>#REF!</v>
      </c>
      <c r="T116" t="e">
        <f>#REF!</f>
        <v>#REF!</v>
      </c>
      <c r="U116" t="e">
        <f>#REF!</f>
        <v>#REF!</v>
      </c>
      <c r="V116" t="e">
        <f>#REF!</f>
        <v>#REF!</v>
      </c>
    </row>
    <row r="117" spans="1:22" x14ac:dyDescent="0.35">
      <c r="A117" s="3">
        <v>36708</v>
      </c>
      <c r="B117" s="4">
        <v>2065.9960000000001</v>
      </c>
      <c r="C117">
        <v>115</v>
      </c>
      <c r="D117">
        <f t="shared" si="8"/>
        <v>13225</v>
      </c>
      <c r="E117">
        <f t="shared" si="9"/>
        <v>7.6333677135692879</v>
      </c>
      <c r="F117" s="21">
        <f t="shared" si="10"/>
        <v>7</v>
      </c>
      <c r="G117">
        <f t="shared" si="7"/>
        <v>0</v>
      </c>
      <c r="H117">
        <f t="shared" si="12"/>
        <v>0</v>
      </c>
      <c r="I117">
        <f t="shared" si="12"/>
        <v>0</v>
      </c>
      <c r="J117">
        <f t="shared" si="12"/>
        <v>0</v>
      </c>
      <c r="K117">
        <f t="shared" si="12"/>
        <v>0</v>
      </c>
      <c r="L117">
        <f t="shared" si="12"/>
        <v>0</v>
      </c>
      <c r="M117">
        <f t="shared" si="12"/>
        <v>1</v>
      </c>
      <c r="N117">
        <f t="shared" si="12"/>
        <v>0</v>
      </c>
      <c r="O117">
        <f t="shared" si="12"/>
        <v>0</v>
      </c>
      <c r="P117">
        <f t="shared" si="12"/>
        <v>0</v>
      </c>
      <c r="Q117">
        <f t="shared" si="12"/>
        <v>0</v>
      </c>
      <c r="R117">
        <f t="shared" si="12"/>
        <v>0</v>
      </c>
      <c r="S117" t="e">
        <f>#REF!</f>
        <v>#REF!</v>
      </c>
      <c r="T117" t="e">
        <f>#REF!</f>
        <v>#REF!</v>
      </c>
      <c r="U117" t="e">
        <f>#REF!</f>
        <v>#REF!</v>
      </c>
      <c r="V117" t="e">
        <f>#REF!</f>
        <v>#REF!</v>
      </c>
    </row>
    <row r="118" spans="1:22" x14ac:dyDescent="0.35">
      <c r="A118" s="3">
        <v>36739</v>
      </c>
      <c r="B118" s="4">
        <v>2110.471</v>
      </c>
      <c r="C118">
        <v>116</v>
      </c>
      <c r="D118">
        <f t="shared" si="8"/>
        <v>13456</v>
      </c>
      <c r="E118">
        <f t="shared" si="9"/>
        <v>7.6546664243084361</v>
      </c>
      <c r="F118" s="21">
        <f t="shared" si="10"/>
        <v>8</v>
      </c>
      <c r="G118">
        <f t="shared" si="7"/>
        <v>0</v>
      </c>
      <c r="H118">
        <f t="shared" si="12"/>
        <v>0</v>
      </c>
      <c r="I118">
        <f t="shared" si="12"/>
        <v>0</v>
      </c>
      <c r="J118">
        <f t="shared" si="12"/>
        <v>0</v>
      </c>
      <c r="K118">
        <f t="shared" si="12"/>
        <v>0</v>
      </c>
      <c r="L118">
        <f t="shared" si="12"/>
        <v>0</v>
      </c>
      <c r="M118">
        <f t="shared" si="12"/>
        <v>0</v>
      </c>
      <c r="N118">
        <f t="shared" si="12"/>
        <v>1</v>
      </c>
      <c r="O118">
        <f t="shared" si="12"/>
        <v>0</v>
      </c>
      <c r="P118">
        <f t="shared" si="12"/>
        <v>0</v>
      </c>
      <c r="Q118">
        <f t="shared" si="12"/>
        <v>0</v>
      </c>
      <c r="R118">
        <f t="shared" si="12"/>
        <v>0</v>
      </c>
      <c r="S118" t="e">
        <f>#REF!</f>
        <v>#REF!</v>
      </c>
      <c r="T118" t="e">
        <f>#REF!</f>
        <v>#REF!</v>
      </c>
      <c r="U118" t="e">
        <f>#REF!</f>
        <v>#REF!</v>
      </c>
      <c r="V118" t="e">
        <f>#REF!</f>
        <v>#REF!</v>
      </c>
    </row>
    <row r="119" spans="1:22" x14ac:dyDescent="0.35">
      <c r="A119" s="3">
        <v>36770</v>
      </c>
      <c r="B119" s="4">
        <v>1838.7059999999999</v>
      </c>
      <c r="C119">
        <v>117</v>
      </c>
      <c r="D119">
        <f t="shared" si="8"/>
        <v>13689</v>
      </c>
      <c r="E119">
        <f t="shared" si="9"/>
        <v>7.5168173423295412</v>
      </c>
      <c r="F119" s="21">
        <f t="shared" si="10"/>
        <v>9</v>
      </c>
      <c r="G119">
        <f t="shared" si="7"/>
        <v>0</v>
      </c>
      <c r="H119">
        <f t="shared" si="12"/>
        <v>0</v>
      </c>
      <c r="I119">
        <f t="shared" si="12"/>
        <v>0</v>
      </c>
      <c r="J119">
        <f t="shared" si="12"/>
        <v>0</v>
      </c>
      <c r="K119">
        <f t="shared" si="12"/>
        <v>0</v>
      </c>
      <c r="L119">
        <f t="shared" si="12"/>
        <v>0</v>
      </c>
      <c r="M119">
        <f t="shared" si="12"/>
        <v>0</v>
      </c>
      <c r="N119">
        <f t="shared" si="12"/>
        <v>0</v>
      </c>
      <c r="O119">
        <f t="shared" si="12"/>
        <v>1</v>
      </c>
      <c r="P119">
        <f t="shared" si="12"/>
        <v>0</v>
      </c>
      <c r="Q119">
        <f t="shared" si="12"/>
        <v>0</v>
      </c>
      <c r="R119">
        <f t="shared" si="12"/>
        <v>0</v>
      </c>
      <c r="S119" t="e">
        <f>#REF!</f>
        <v>#REF!</v>
      </c>
      <c r="T119" t="e">
        <f>#REF!</f>
        <v>#REF!</v>
      </c>
      <c r="U119" t="e">
        <f>#REF!</f>
        <v>#REF!</v>
      </c>
      <c r="V119" t="e">
        <f>#REF!</f>
        <v>#REF!</v>
      </c>
    </row>
    <row r="120" spans="1:22" x14ac:dyDescent="0.35">
      <c r="A120" s="3">
        <v>36800</v>
      </c>
      <c r="B120" s="4">
        <v>1991.9970000000001</v>
      </c>
      <c r="C120">
        <v>118</v>
      </c>
      <c r="D120">
        <f t="shared" si="8"/>
        <v>13924</v>
      </c>
      <c r="E120">
        <f t="shared" si="9"/>
        <v>7.5968929321193128</v>
      </c>
      <c r="F120" s="21">
        <f t="shared" si="10"/>
        <v>10</v>
      </c>
      <c r="G120">
        <f t="shared" si="7"/>
        <v>0</v>
      </c>
      <c r="H120">
        <f t="shared" si="12"/>
        <v>0</v>
      </c>
      <c r="I120">
        <f t="shared" si="12"/>
        <v>0</v>
      </c>
      <c r="J120">
        <f t="shared" si="12"/>
        <v>0</v>
      </c>
      <c r="K120">
        <f t="shared" si="12"/>
        <v>0</v>
      </c>
      <c r="L120">
        <f t="shared" si="12"/>
        <v>0</v>
      </c>
      <c r="M120">
        <f t="shared" si="12"/>
        <v>0</v>
      </c>
      <c r="N120">
        <f t="shared" si="12"/>
        <v>0</v>
      </c>
      <c r="O120">
        <f t="shared" si="12"/>
        <v>0</v>
      </c>
      <c r="P120">
        <f t="shared" si="12"/>
        <v>1</v>
      </c>
      <c r="Q120">
        <f t="shared" si="12"/>
        <v>0</v>
      </c>
      <c r="R120">
        <f t="shared" si="12"/>
        <v>0</v>
      </c>
      <c r="S120" t="e">
        <f>#REF!</f>
        <v>#REF!</v>
      </c>
      <c r="T120" t="e">
        <f>#REF!</f>
        <v>#REF!</v>
      </c>
      <c r="U120" t="e">
        <f>#REF!</f>
        <v>#REF!</v>
      </c>
      <c r="V120" t="e">
        <f>#REF!</f>
        <v>#REF!</v>
      </c>
    </row>
    <row r="121" spans="1:22" x14ac:dyDescent="0.35">
      <c r="A121" s="3">
        <v>36831</v>
      </c>
      <c r="B121" s="4">
        <v>1996.4079999999999</v>
      </c>
      <c r="C121">
        <v>119</v>
      </c>
      <c r="D121">
        <f t="shared" si="8"/>
        <v>14161</v>
      </c>
      <c r="E121">
        <f t="shared" si="9"/>
        <v>7.5991048448004088</v>
      </c>
      <c r="F121" s="21">
        <f t="shared" si="10"/>
        <v>11</v>
      </c>
      <c r="G121">
        <f t="shared" si="7"/>
        <v>0</v>
      </c>
      <c r="H121">
        <f t="shared" si="12"/>
        <v>0</v>
      </c>
      <c r="I121">
        <f t="shared" si="12"/>
        <v>0</v>
      </c>
      <c r="J121">
        <f t="shared" si="12"/>
        <v>0</v>
      </c>
      <c r="K121">
        <f t="shared" si="12"/>
        <v>0</v>
      </c>
      <c r="L121">
        <f t="shared" si="12"/>
        <v>0</v>
      </c>
      <c r="M121">
        <f t="shared" si="12"/>
        <v>0</v>
      </c>
      <c r="N121">
        <f t="shared" si="12"/>
        <v>0</v>
      </c>
      <c r="O121">
        <f t="shared" si="12"/>
        <v>0</v>
      </c>
      <c r="P121">
        <f t="shared" si="12"/>
        <v>0</v>
      </c>
      <c r="Q121">
        <f t="shared" si="12"/>
        <v>1</v>
      </c>
      <c r="R121">
        <f t="shared" si="12"/>
        <v>0</v>
      </c>
      <c r="S121" t="e">
        <f>#REF!</f>
        <v>#REF!</v>
      </c>
      <c r="T121" t="e">
        <f>#REF!</f>
        <v>#REF!</v>
      </c>
      <c r="U121" t="e">
        <f>#REF!</f>
        <v>#REF!</v>
      </c>
      <c r="V121" t="e">
        <f>#REF!</f>
        <v>#REF!</v>
      </c>
    </row>
    <row r="122" spans="1:22" x14ac:dyDescent="0.35">
      <c r="A122" s="3">
        <v>36861</v>
      </c>
      <c r="B122" s="4">
        <v>2015.153</v>
      </c>
      <c r="C122">
        <v>120</v>
      </c>
      <c r="D122">
        <f t="shared" si="8"/>
        <v>14400</v>
      </c>
      <c r="E122">
        <f t="shared" si="9"/>
        <v>7.6084504020192991</v>
      </c>
      <c r="F122" s="21">
        <f t="shared" si="10"/>
        <v>12</v>
      </c>
      <c r="G122">
        <f t="shared" ref="G122:G161" si="13">IF($F122=G$1,1,0)</f>
        <v>0</v>
      </c>
      <c r="H122">
        <f t="shared" si="12"/>
        <v>0</v>
      </c>
      <c r="I122">
        <f t="shared" si="12"/>
        <v>0</v>
      </c>
      <c r="J122">
        <f t="shared" si="12"/>
        <v>0</v>
      </c>
      <c r="K122">
        <f t="shared" si="12"/>
        <v>0</v>
      </c>
      <c r="L122">
        <f t="shared" si="12"/>
        <v>0</v>
      </c>
      <c r="M122">
        <f t="shared" si="12"/>
        <v>0</v>
      </c>
      <c r="N122">
        <f t="shared" si="12"/>
        <v>0</v>
      </c>
      <c r="O122">
        <f t="shared" si="12"/>
        <v>0</v>
      </c>
      <c r="P122">
        <f t="shared" si="12"/>
        <v>0</v>
      </c>
      <c r="Q122">
        <f t="shared" si="12"/>
        <v>0</v>
      </c>
      <c r="R122">
        <f t="shared" si="12"/>
        <v>1</v>
      </c>
      <c r="S122" t="e">
        <f>#REF!</f>
        <v>#REF!</v>
      </c>
      <c r="T122" t="e">
        <f>#REF!</f>
        <v>#REF!</v>
      </c>
      <c r="U122" t="e">
        <f>#REF!</f>
        <v>#REF!</v>
      </c>
      <c r="V122" t="e">
        <f>#REF!</f>
        <v>#REF!</v>
      </c>
    </row>
    <row r="123" spans="1:22" x14ac:dyDescent="0.35">
      <c r="A123" s="3">
        <v>36892</v>
      </c>
      <c r="B123" s="4">
        <v>1696.1479999999999</v>
      </c>
      <c r="C123">
        <v>121</v>
      </c>
      <c r="D123">
        <f t="shared" si="8"/>
        <v>14641</v>
      </c>
      <c r="E123">
        <f t="shared" si="9"/>
        <v>7.4361150766954971</v>
      </c>
      <c r="F123" s="21">
        <f t="shared" si="10"/>
        <v>1</v>
      </c>
      <c r="G123">
        <f t="shared" si="13"/>
        <v>1</v>
      </c>
      <c r="H123">
        <f t="shared" si="12"/>
        <v>0</v>
      </c>
      <c r="I123">
        <f t="shared" si="12"/>
        <v>0</v>
      </c>
      <c r="J123">
        <f t="shared" si="12"/>
        <v>0</v>
      </c>
      <c r="K123">
        <f t="shared" si="12"/>
        <v>0</v>
      </c>
      <c r="L123">
        <f t="shared" si="12"/>
        <v>0</v>
      </c>
      <c r="M123">
        <f t="shared" si="12"/>
        <v>0</v>
      </c>
      <c r="N123">
        <f t="shared" si="12"/>
        <v>0</v>
      </c>
      <c r="O123">
        <f t="shared" si="12"/>
        <v>0</v>
      </c>
      <c r="P123">
        <f t="shared" si="12"/>
        <v>0</v>
      </c>
      <c r="Q123">
        <f t="shared" si="12"/>
        <v>0</v>
      </c>
      <c r="R123">
        <f t="shared" si="12"/>
        <v>0</v>
      </c>
      <c r="S123" t="e">
        <f>#REF!</f>
        <v>#REF!</v>
      </c>
      <c r="T123" t="e">
        <f>#REF!</f>
        <v>#REF!</v>
      </c>
      <c r="U123" t="e">
        <f>#REF!</f>
        <v>#REF!</v>
      </c>
      <c r="V123" t="e">
        <f>#REF!</f>
        <v>#REF!</v>
      </c>
    </row>
    <row r="124" spans="1:22" x14ac:dyDescent="0.35">
      <c r="A124" s="3">
        <v>36923</v>
      </c>
      <c r="B124" s="4">
        <v>1675.404</v>
      </c>
      <c r="C124">
        <v>122</v>
      </c>
      <c r="D124">
        <f t="shared" si="8"/>
        <v>14884</v>
      </c>
      <c r="E124">
        <f t="shared" si="9"/>
        <v>7.4238096092064136</v>
      </c>
      <c r="F124" s="21">
        <f t="shared" si="10"/>
        <v>2</v>
      </c>
      <c r="G124">
        <f t="shared" si="13"/>
        <v>0</v>
      </c>
      <c r="H124">
        <f t="shared" si="12"/>
        <v>1</v>
      </c>
      <c r="I124">
        <f t="shared" si="12"/>
        <v>0</v>
      </c>
      <c r="J124">
        <f t="shared" si="12"/>
        <v>0</v>
      </c>
      <c r="K124">
        <f t="shared" si="12"/>
        <v>0</v>
      </c>
      <c r="L124">
        <f t="shared" si="12"/>
        <v>0</v>
      </c>
      <c r="M124">
        <f t="shared" si="12"/>
        <v>0</v>
      </c>
      <c r="N124">
        <f t="shared" si="12"/>
        <v>0</v>
      </c>
      <c r="O124">
        <f t="shared" si="12"/>
        <v>0</v>
      </c>
      <c r="P124">
        <f t="shared" si="12"/>
        <v>0</v>
      </c>
      <c r="Q124">
        <f t="shared" si="12"/>
        <v>0</v>
      </c>
      <c r="R124">
        <f t="shared" si="12"/>
        <v>0</v>
      </c>
      <c r="S124" t="e">
        <f>#REF!</f>
        <v>#REF!</v>
      </c>
      <c r="T124" t="e">
        <f>#REF!</f>
        <v>#REF!</v>
      </c>
      <c r="U124" t="e">
        <f>#REF!</f>
        <v>#REF!</v>
      </c>
      <c r="V124" t="e">
        <f>#REF!</f>
        <v>#REF!</v>
      </c>
    </row>
    <row r="125" spans="1:22" x14ac:dyDescent="0.35">
      <c r="A125" s="3">
        <v>36951</v>
      </c>
      <c r="B125" s="4">
        <v>2021.9280000000001</v>
      </c>
      <c r="C125">
        <v>123</v>
      </c>
      <c r="D125">
        <f t="shared" si="8"/>
        <v>15129</v>
      </c>
      <c r="E125">
        <f t="shared" si="9"/>
        <v>7.6118067906378206</v>
      </c>
      <c r="F125" s="21">
        <f t="shared" si="10"/>
        <v>3</v>
      </c>
      <c r="G125">
        <f t="shared" si="13"/>
        <v>0</v>
      </c>
      <c r="H125">
        <f t="shared" si="12"/>
        <v>0</v>
      </c>
      <c r="I125">
        <f t="shared" si="12"/>
        <v>1</v>
      </c>
      <c r="J125">
        <f t="shared" si="12"/>
        <v>0</v>
      </c>
      <c r="K125">
        <f t="shared" si="12"/>
        <v>0</v>
      </c>
      <c r="L125">
        <f t="shared" si="12"/>
        <v>0</v>
      </c>
      <c r="M125">
        <f t="shared" si="12"/>
        <v>0</v>
      </c>
      <c r="N125">
        <f t="shared" si="12"/>
        <v>0</v>
      </c>
      <c r="O125">
        <f t="shared" si="12"/>
        <v>0</v>
      </c>
      <c r="P125">
        <f t="shared" si="12"/>
        <v>0</v>
      </c>
      <c r="Q125">
        <f t="shared" si="12"/>
        <v>0</v>
      </c>
      <c r="R125">
        <f t="shared" si="12"/>
        <v>0</v>
      </c>
      <c r="S125" t="e">
        <f>#REF!</f>
        <v>#REF!</v>
      </c>
      <c r="T125" t="e">
        <f>#REF!</f>
        <v>#REF!</v>
      </c>
      <c r="U125" t="e">
        <f>#REF!</f>
        <v>#REF!</v>
      </c>
      <c r="V125" t="e">
        <f>#REF!</f>
        <v>#REF!</v>
      </c>
    </row>
    <row r="126" spans="1:22" x14ac:dyDescent="0.35">
      <c r="A126" s="3">
        <v>36982</v>
      </c>
      <c r="B126" s="4">
        <v>2035.7919999999999</v>
      </c>
      <c r="C126">
        <v>124</v>
      </c>
      <c r="D126">
        <f t="shared" si="8"/>
        <v>15376</v>
      </c>
      <c r="E126">
        <f t="shared" si="9"/>
        <v>7.6186402113514164</v>
      </c>
      <c r="F126" s="21">
        <f t="shared" si="10"/>
        <v>4</v>
      </c>
      <c r="G126">
        <f t="shared" si="13"/>
        <v>0</v>
      </c>
      <c r="H126">
        <f t="shared" si="12"/>
        <v>0</v>
      </c>
      <c r="I126">
        <f t="shared" si="12"/>
        <v>0</v>
      </c>
      <c r="J126">
        <f t="shared" si="12"/>
        <v>1</v>
      </c>
      <c r="K126">
        <f t="shared" si="12"/>
        <v>0</v>
      </c>
      <c r="L126">
        <f t="shared" si="12"/>
        <v>0</v>
      </c>
      <c r="M126">
        <f t="shared" si="12"/>
        <v>0</v>
      </c>
      <c r="N126">
        <f t="shared" si="12"/>
        <v>0</v>
      </c>
      <c r="O126">
        <f t="shared" si="12"/>
        <v>0</v>
      </c>
      <c r="P126">
        <f t="shared" ref="H126:R149" si="14">IF($F126=P$1,1,0)</f>
        <v>0</v>
      </c>
      <c r="Q126">
        <f t="shared" si="14"/>
        <v>0</v>
      </c>
      <c r="R126">
        <f t="shared" si="14"/>
        <v>0</v>
      </c>
      <c r="S126" t="e">
        <f>#REF!</f>
        <v>#REF!</v>
      </c>
      <c r="T126" t="e">
        <f>#REF!</f>
        <v>#REF!</v>
      </c>
      <c r="U126" t="e">
        <f>#REF!</f>
        <v>#REF!</v>
      </c>
      <c r="V126" t="e">
        <f>#REF!</f>
        <v>#REF!</v>
      </c>
    </row>
    <row r="127" spans="1:22" x14ac:dyDescent="0.35">
      <c r="A127" s="3">
        <v>37012</v>
      </c>
      <c r="B127" s="4">
        <v>2060.0079999999998</v>
      </c>
      <c r="C127">
        <v>125</v>
      </c>
      <c r="D127">
        <f t="shared" si="8"/>
        <v>15625</v>
      </c>
      <c r="E127">
        <f t="shared" si="9"/>
        <v>7.6304651452712315</v>
      </c>
      <c r="F127" s="21">
        <f t="shared" si="10"/>
        <v>5</v>
      </c>
      <c r="G127">
        <f t="shared" si="13"/>
        <v>0</v>
      </c>
      <c r="H127">
        <f t="shared" si="14"/>
        <v>0</v>
      </c>
      <c r="I127">
        <f t="shared" si="14"/>
        <v>0</v>
      </c>
      <c r="J127">
        <f t="shared" si="14"/>
        <v>0</v>
      </c>
      <c r="K127">
        <f t="shared" si="14"/>
        <v>1</v>
      </c>
      <c r="L127">
        <f t="shared" si="14"/>
        <v>0</v>
      </c>
      <c r="M127">
        <f t="shared" si="14"/>
        <v>0</v>
      </c>
      <c r="N127">
        <f t="shared" si="14"/>
        <v>0</v>
      </c>
      <c r="O127">
        <f t="shared" si="14"/>
        <v>0</v>
      </c>
      <c r="P127">
        <f t="shared" si="14"/>
        <v>0</v>
      </c>
      <c r="Q127">
        <f t="shared" si="14"/>
        <v>0</v>
      </c>
      <c r="R127">
        <f t="shared" si="14"/>
        <v>0</v>
      </c>
      <c r="S127" t="e">
        <f>#REF!</f>
        <v>#REF!</v>
      </c>
      <c r="T127" t="e">
        <f>#REF!</f>
        <v>#REF!</v>
      </c>
      <c r="U127" t="e">
        <f>#REF!</f>
        <v>#REF!</v>
      </c>
      <c r="V127" t="e">
        <f>#REF!</f>
        <v>#REF!</v>
      </c>
    </row>
    <row r="128" spans="1:22" x14ac:dyDescent="0.35">
      <c r="A128" s="3">
        <v>37043</v>
      </c>
      <c r="B128" s="4">
        <v>2086.913</v>
      </c>
      <c r="C128">
        <v>126</v>
      </c>
      <c r="D128">
        <f t="shared" si="8"/>
        <v>15876</v>
      </c>
      <c r="E128">
        <f t="shared" si="9"/>
        <v>7.6434412195767605</v>
      </c>
      <c r="F128" s="21">
        <f t="shared" si="10"/>
        <v>6</v>
      </c>
      <c r="G128">
        <f t="shared" si="13"/>
        <v>0</v>
      </c>
      <c r="H128">
        <f t="shared" si="14"/>
        <v>0</v>
      </c>
      <c r="I128">
        <f t="shared" si="14"/>
        <v>0</v>
      </c>
      <c r="J128">
        <f t="shared" si="14"/>
        <v>0</v>
      </c>
      <c r="K128">
        <f t="shared" si="14"/>
        <v>0</v>
      </c>
      <c r="L128">
        <f t="shared" si="14"/>
        <v>1</v>
      </c>
      <c r="M128">
        <f t="shared" si="14"/>
        <v>0</v>
      </c>
      <c r="N128">
        <f t="shared" si="14"/>
        <v>0</v>
      </c>
      <c r="O128">
        <f t="shared" si="14"/>
        <v>0</v>
      </c>
      <c r="P128">
        <f t="shared" si="14"/>
        <v>0</v>
      </c>
      <c r="Q128">
        <f t="shared" si="14"/>
        <v>0</v>
      </c>
      <c r="R128">
        <f t="shared" si="14"/>
        <v>0</v>
      </c>
      <c r="S128" t="e">
        <f>#REF!</f>
        <v>#REF!</v>
      </c>
      <c r="T128" t="e">
        <f>#REF!</f>
        <v>#REF!</v>
      </c>
      <c r="U128" t="e">
        <f>#REF!</f>
        <v>#REF!</v>
      </c>
      <c r="V128" t="e">
        <f>#REF!</f>
        <v>#REF!</v>
      </c>
    </row>
    <row r="129" spans="1:22" x14ac:dyDescent="0.35">
      <c r="A129" s="3">
        <v>37073</v>
      </c>
      <c r="B129" s="4">
        <v>2140.7170000000001</v>
      </c>
      <c r="C129">
        <v>127</v>
      </c>
      <c r="D129">
        <f t="shared" si="8"/>
        <v>16129</v>
      </c>
      <c r="E129">
        <f t="shared" si="9"/>
        <v>7.668896098629248</v>
      </c>
      <c r="F129" s="21">
        <f t="shared" si="10"/>
        <v>7</v>
      </c>
      <c r="G129">
        <f t="shared" si="13"/>
        <v>0</v>
      </c>
      <c r="H129">
        <f t="shared" si="14"/>
        <v>0</v>
      </c>
      <c r="I129">
        <f t="shared" si="14"/>
        <v>0</v>
      </c>
      <c r="J129">
        <f t="shared" si="14"/>
        <v>0</v>
      </c>
      <c r="K129">
        <f t="shared" si="14"/>
        <v>0</v>
      </c>
      <c r="L129">
        <f t="shared" si="14"/>
        <v>0</v>
      </c>
      <c r="M129">
        <f t="shared" si="14"/>
        <v>1</v>
      </c>
      <c r="N129">
        <f t="shared" si="14"/>
        <v>0</v>
      </c>
      <c r="O129">
        <f t="shared" si="14"/>
        <v>0</v>
      </c>
      <c r="P129">
        <f t="shared" si="14"/>
        <v>0</v>
      </c>
      <c r="Q129">
        <f t="shared" si="14"/>
        <v>0</v>
      </c>
      <c r="R129">
        <f t="shared" si="14"/>
        <v>0</v>
      </c>
      <c r="S129" t="e">
        <f>#REF!</f>
        <v>#REF!</v>
      </c>
      <c r="T129" t="e">
        <f>#REF!</f>
        <v>#REF!</v>
      </c>
      <c r="U129" t="e">
        <f>#REF!</f>
        <v>#REF!</v>
      </c>
      <c r="V129" t="e">
        <f>#REF!</f>
        <v>#REF!</v>
      </c>
    </row>
    <row r="130" spans="1:22" x14ac:dyDescent="0.35">
      <c r="A130" s="3">
        <v>37104</v>
      </c>
      <c r="B130" s="4">
        <v>2219.6379999999999</v>
      </c>
      <c r="C130">
        <v>128</v>
      </c>
      <c r="D130">
        <f t="shared" si="8"/>
        <v>16384</v>
      </c>
      <c r="E130">
        <f t="shared" si="9"/>
        <v>7.7050993985070351</v>
      </c>
      <c r="F130" s="21">
        <f t="shared" si="10"/>
        <v>8</v>
      </c>
      <c r="G130">
        <f t="shared" si="13"/>
        <v>0</v>
      </c>
      <c r="H130">
        <f t="shared" si="14"/>
        <v>0</v>
      </c>
      <c r="I130">
        <f t="shared" si="14"/>
        <v>0</v>
      </c>
      <c r="J130">
        <f t="shared" si="14"/>
        <v>0</v>
      </c>
      <c r="K130">
        <f t="shared" si="14"/>
        <v>0</v>
      </c>
      <c r="L130">
        <f t="shared" si="14"/>
        <v>0</v>
      </c>
      <c r="M130">
        <f t="shared" si="14"/>
        <v>0</v>
      </c>
      <c r="N130">
        <f t="shared" si="14"/>
        <v>1</v>
      </c>
      <c r="O130">
        <f t="shared" si="14"/>
        <v>0</v>
      </c>
      <c r="P130">
        <f t="shared" si="14"/>
        <v>0</v>
      </c>
      <c r="Q130">
        <f t="shared" si="14"/>
        <v>0</v>
      </c>
      <c r="R130">
        <f t="shared" si="14"/>
        <v>0</v>
      </c>
      <c r="S130" t="e">
        <f>#REF!</f>
        <v>#REF!</v>
      </c>
      <c r="T130" t="e">
        <f>#REF!</f>
        <v>#REF!</v>
      </c>
      <c r="U130" t="e">
        <f>#REF!</f>
        <v>#REF!</v>
      </c>
      <c r="V130" t="e">
        <f>#REF!</f>
        <v>#REF!</v>
      </c>
    </row>
    <row r="131" spans="1:22" x14ac:dyDescent="0.35">
      <c r="A131" s="3">
        <v>37135</v>
      </c>
      <c r="B131" s="4">
        <v>1719.693</v>
      </c>
      <c r="C131">
        <v>129</v>
      </c>
      <c r="D131">
        <f t="shared" si="8"/>
        <v>16641</v>
      </c>
      <c r="E131">
        <f t="shared" si="9"/>
        <v>7.4499010655044602</v>
      </c>
      <c r="F131" s="21">
        <f t="shared" si="10"/>
        <v>9</v>
      </c>
      <c r="G131">
        <f t="shared" si="13"/>
        <v>0</v>
      </c>
      <c r="H131">
        <f t="shared" si="14"/>
        <v>0</v>
      </c>
      <c r="I131">
        <f t="shared" si="14"/>
        <v>0</v>
      </c>
      <c r="J131">
        <f t="shared" si="14"/>
        <v>0</v>
      </c>
      <c r="K131">
        <f t="shared" si="14"/>
        <v>0</v>
      </c>
      <c r="L131">
        <f t="shared" si="14"/>
        <v>0</v>
      </c>
      <c r="M131">
        <f t="shared" si="14"/>
        <v>0</v>
      </c>
      <c r="N131">
        <f t="shared" si="14"/>
        <v>0</v>
      </c>
      <c r="O131">
        <f t="shared" si="14"/>
        <v>1</v>
      </c>
      <c r="P131">
        <f t="shared" si="14"/>
        <v>0</v>
      </c>
      <c r="Q131">
        <f t="shared" si="14"/>
        <v>0</v>
      </c>
      <c r="R131">
        <f t="shared" si="14"/>
        <v>0</v>
      </c>
      <c r="S131" t="e">
        <f>#REF!</f>
        <v>#REF!</v>
      </c>
      <c r="T131" t="e">
        <f>#REF!</f>
        <v>#REF!</v>
      </c>
      <c r="U131" t="e">
        <f>#REF!</f>
        <v>#REF!</v>
      </c>
      <c r="V131" t="e">
        <f>#REF!</f>
        <v>#REF!</v>
      </c>
    </row>
    <row r="132" spans="1:22" x14ac:dyDescent="0.35">
      <c r="A132" s="3">
        <v>37165</v>
      </c>
      <c r="B132" s="4">
        <v>1966.7159999999999</v>
      </c>
      <c r="C132">
        <v>130</v>
      </c>
      <c r="D132">
        <f t="shared" ref="D132:D161" si="15">C132*C132</f>
        <v>16900</v>
      </c>
      <c r="E132">
        <f t="shared" ref="E132:E161" si="16">LN(B132)</f>
        <v>7.5841204256568471</v>
      </c>
      <c r="F132" s="21">
        <f t="shared" ref="F132:F161" si="17">MONTH(A132)</f>
        <v>10</v>
      </c>
      <c r="G132">
        <f t="shared" si="13"/>
        <v>0</v>
      </c>
      <c r="H132">
        <f t="shared" si="14"/>
        <v>0</v>
      </c>
      <c r="I132">
        <f t="shared" si="14"/>
        <v>0</v>
      </c>
      <c r="J132">
        <f t="shared" si="14"/>
        <v>0</v>
      </c>
      <c r="K132">
        <f t="shared" si="14"/>
        <v>0</v>
      </c>
      <c r="L132">
        <f t="shared" si="14"/>
        <v>0</v>
      </c>
      <c r="M132">
        <f t="shared" si="14"/>
        <v>0</v>
      </c>
      <c r="N132">
        <f t="shared" si="14"/>
        <v>0</v>
      </c>
      <c r="O132">
        <f t="shared" si="14"/>
        <v>0</v>
      </c>
      <c r="P132">
        <f t="shared" si="14"/>
        <v>1</v>
      </c>
      <c r="Q132">
        <f t="shared" si="14"/>
        <v>0</v>
      </c>
      <c r="R132">
        <f t="shared" si="14"/>
        <v>0</v>
      </c>
      <c r="S132" t="e">
        <f>#REF!</f>
        <v>#REF!</v>
      </c>
      <c r="T132" t="e">
        <f>#REF!</f>
        <v>#REF!</v>
      </c>
      <c r="U132" t="e">
        <f>#REF!</f>
        <v>#REF!</v>
      </c>
      <c r="V132" t="e">
        <f>#REF!</f>
        <v>#REF!</v>
      </c>
    </row>
    <row r="133" spans="1:22" x14ac:dyDescent="0.35">
      <c r="A133" s="3">
        <v>37196</v>
      </c>
      <c r="B133" s="4">
        <v>1990.614</v>
      </c>
      <c r="C133">
        <v>131</v>
      </c>
      <c r="D133">
        <f t="shared" si="15"/>
        <v>17161</v>
      </c>
      <c r="E133">
        <f t="shared" si="16"/>
        <v>7.5961984128425915</v>
      </c>
      <c r="F133" s="21">
        <f t="shared" si="17"/>
        <v>11</v>
      </c>
      <c r="G133">
        <f t="shared" si="13"/>
        <v>0</v>
      </c>
      <c r="H133">
        <f t="shared" si="14"/>
        <v>0</v>
      </c>
      <c r="I133">
        <f t="shared" si="14"/>
        <v>0</v>
      </c>
      <c r="J133">
        <f t="shared" si="14"/>
        <v>0</v>
      </c>
      <c r="K133">
        <f t="shared" si="14"/>
        <v>0</v>
      </c>
      <c r="L133">
        <f t="shared" si="14"/>
        <v>0</v>
      </c>
      <c r="M133">
        <f t="shared" si="14"/>
        <v>0</v>
      </c>
      <c r="N133">
        <f t="shared" si="14"/>
        <v>0</v>
      </c>
      <c r="O133">
        <f t="shared" si="14"/>
        <v>0</v>
      </c>
      <c r="P133">
        <f t="shared" si="14"/>
        <v>0</v>
      </c>
      <c r="Q133">
        <f t="shared" si="14"/>
        <v>1</v>
      </c>
      <c r="R133">
        <f t="shared" si="14"/>
        <v>0</v>
      </c>
      <c r="S133" t="e">
        <f>#REF!</f>
        <v>#REF!</v>
      </c>
      <c r="T133" t="e">
        <f>#REF!</f>
        <v>#REF!</v>
      </c>
      <c r="U133" t="e">
        <f>#REF!</f>
        <v>#REF!</v>
      </c>
      <c r="V133" t="e">
        <f>#REF!</f>
        <v>#REF!</v>
      </c>
    </row>
    <row r="134" spans="1:22" x14ac:dyDescent="0.35">
      <c r="A134" s="3">
        <v>37226</v>
      </c>
      <c r="B134" s="4">
        <v>2000.729</v>
      </c>
      <c r="C134">
        <v>132</v>
      </c>
      <c r="D134">
        <f t="shared" si="15"/>
        <v>17424</v>
      </c>
      <c r="E134">
        <f t="shared" si="16"/>
        <v>7.6012668931280958</v>
      </c>
      <c r="F134" s="21">
        <f t="shared" si="17"/>
        <v>12</v>
      </c>
      <c r="G134">
        <f t="shared" si="13"/>
        <v>0</v>
      </c>
      <c r="H134">
        <f t="shared" si="14"/>
        <v>0</v>
      </c>
      <c r="I134">
        <f t="shared" si="14"/>
        <v>0</v>
      </c>
      <c r="J134">
        <f t="shared" si="14"/>
        <v>0</v>
      </c>
      <c r="K134">
        <f t="shared" si="14"/>
        <v>0</v>
      </c>
      <c r="L134">
        <f t="shared" si="14"/>
        <v>0</v>
      </c>
      <c r="M134">
        <f t="shared" si="14"/>
        <v>0</v>
      </c>
      <c r="N134">
        <f t="shared" si="14"/>
        <v>0</v>
      </c>
      <c r="O134">
        <f t="shared" si="14"/>
        <v>0</v>
      </c>
      <c r="P134">
        <f t="shared" si="14"/>
        <v>0</v>
      </c>
      <c r="Q134">
        <f t="shared" si="14"/>
        <v>0</v>
      </c>
      <c r="R134">
        <f t="shared" si="14"/>
        <v>1</v>
      </c>
      <c r="S134" t="e">
        <f>#REF!</f>
        <v>#REF!</v>
      </c>
      <c r="T134" t="e">
        <f>#REF!</f>
        <v>#REF!</v>
      </c>
      <c r="U134" t="e">
        <f>#REF!</f>
        <v>#REF!</v>
      </c>
      <c r="V134" t="e">
        <f>#REF!</f>
        <v>#REF!</v>
      </c>
    </row>
    <row r="135" spans="1:22" x14ac:dyDescent="0.35">
      <c r="A135" s="3">
        <v>37257</v>
      </c>
      <c r="B135" s="4">
        <v>1776.6289999999999</v>
      </c>
      <c r="C135">
        <v>133</v>
      </c>
      <c r="D135">
        <f t="shared" si="15"/>
        <v>17689</v>
      </c>
      <c r="E135">
        <f t="shared" si="16"/>
        <v>7.4824730275165727</v>
      </c>
      <c r="F135" s="21">
        <f t="shared" si="17"/>
        <v>1</v>
      </c>
      <c r="G135">
        <f t="shared" si="13"/>
        <v>1</v>
      </c>
      <c r="H135">
        <f t="shared" si="14"/>
        <v>0</v>
      </c>
      <c r="I135">
        <f t="shared" si="14"/>
        <v>0</v>
      </c>
      <c r="J135">
        <f t="shared" si="14"/>
        <v>0</v>
      </c>
      <c r="K135">
        <f t="shared" si="14"/>
        <v>0</v>
      </c>
      <c r="L135">
        <f t="shared" si="14"/>
        <v>0</v>
      </c>
      <c r="M135">
        <f t="shared" si="14"/>
        <v>0</v>
      </c>
      <c r="N135">
        <f t="shared" si="14"/>
        <v>0</v>
      </c>
      <c r="O135">
        <f t="shared" si="14"/>
        <v>0</v>
      </c>
      <c r="P135">
        <f t="shared" si="14"/>
        <v>0</v>
      </c>
      <c r="Q135">
        <f t="shared" si="14"/>
        <v>0</v>
      </c>
      <c r="R135">
        <f t="shared" si="14"/>
        <v>0</v>
      </c>
      <c r="S135" t="e">
        <f>#REF!</f>
        <v>#REF!</v>
      </c>
      <c r="T135" t="e">
        <f>#REF!</f>
        <v>#REF!</v>
      </c>
      <c r="U135" t="e">
        <f>#REF!</f>
        <v>#REF!</v>
      </c>
      <c r="V135" t="e">
        <f>#REF!</f>
        <v>#REF!</v>
      </c>
    </row>
    <row r="136" spans="1:22" x14ac:dyDescent="0.35">
      <c r="A136" s="3">
        <v>37288</v>
      </c>
      <c r="B136" s="4">
        <v>1785.595</v>
      </c>
      <c r="C136">
        <v>134</v>
      </c>
      <c r="D136">
        <f t="shared" si="15"/>
        <v>17956</v>
      </c>
      <c r="E136">
        <f t="shared" si="16"/>
        <v>7.4875069720038594</v>
      </c>
      <c r="F136" s="21">
        <f t="shared" si="17"/>
        <v>2</v>
      </c>
      <c r="G136">
        <f t="shared" si="13"/>
        <v>0</v>
      </c>
      <c r="H136">
        <f t="shared" si="14"/>
        <v>1</v>
      </c>
      <c r="I136">
        <f t="shared" si="14"/>
        <v>0</v>
      </c>
      <c r="J136">
        <f t="shared" si="14"/>
        <v>0</v>
      </c>
      <c r="K136">
        <f t="shared" si="14"/>
        <v>0</v>
      </c>
      <c r="L136">
        <f t="shared" si="14"/>
        <v>0</v>
      </c>
      <c r="M136">
        <f t="shared" si="14"/>
        <v>0</v>
      </c>
      <c r="N136">
        <f t="shared" si="14"/>
        <v>0</v>
      </c>
      <c r="O136">
        <f t="shared" si="14"/>
        <v>0</v>
      </c>
      <c r="P136">
        <f t="shared" si="14"/>
        <v>0</v>
      </c>
      <c r="Q136">
        <f t="shared" si="14"/>
        <v>0</v>
      </c>
      <c r="R136">
        <f t="shared" si="14"/>
        <v>0</v>
      </c>
      <c r="S136" t="e">
        <f>#REF!</f>
        <v>#REF!</v>
      </c>
      <c r="T136" t="e">
        <f>#REF!</f>
        <v>#REF!</v>
      </c>
      <c r="U136" t="e">
        <f>#REF!</f>
        <v>#REF!</v>
      </c>
      <c r="V136" t="e">
        <f>#REF!</f>
        <v>#REF!</v>
      </c>
    </row>
    <row r="137" spans="1:22" x14ac:dyDescent="0.35">
      <c r="A137" s="3">
        <v>37316</v>
      </c>
      <c r="B137" s="4">
        <v>2031.912</v>
      </c>
      <c r="C137">
        <v>135</v>
      </c>
      <c r="D137">
        <f t="shared" si="15"/>
        <v>18225</v>
      </c>
      <c r="E137">
        <f t="shared" si="16"/>
        <v>7.6167325006739794</v>
      </c>
      <c r="F137" s="21">
        <f t="shared" si="17"/>
        <v>3</v>
      </c>
      <c r="G137">
        <f t="shared" si="13"/>
        <v>0</v>
      </c>
      <c r="H137">
        <f t="shared" si="14"/>
        <v>0</v>
      </c>
      <c r="I137">
        <f t="shared" si="14"/>
        <v>1</v>
      </c>
      <c r="J137">
        <f t="shared" si="14"/>
        <v>0</v>
      </c>
      <c r="K137">
        <f t="shared" si="14"/>
        <v>0</v>
      </c>
      <c r="L137">
        <f t="shared" si="14"/>
        <v>0</v>
      </c>
      <c r="M137">
        <f t="shared" si="14"/>
        <v>0</v>
      </c>
      <c r="N137">
        <f t="shared" si="14"/>
        <v>0</v>
      </c>
      <c r="O137">
        <f t="shared" si="14"/>
        <v>0</v>
      </c>
      <c r="P137">
        <f t="shared" si="14"/>
        <v>0</v>
      </c>
      <c r="Q137">
        <f t="shared" si="14"/>
        <v>0</v>
      </c>
      <c r="R137">
        <f t="shared" si="14"/>
        <v>0</v>
      </c>
      <c r="S137" t="e">
        <f>#REF!</f>
        <v>#REF!</v>
      </c>
      <c r="T137" t="e">
        <f>#REF!</f>
        <v>#REF!</v>
      </c>
      <c r="U137" t="e">
        <f>#REF!</f>
        <v>#REF!</v>
      </c>
      <c r="V137" t="e">
        <f>#REF!</f>
        <v>#REF!</v>
      </c>
    </row>
    <row r="138" spans="1:22" x14ac:dyDescent="0.35">
      <c r="A138" s="3">
        <v>37347</v>
      </c>
      <c r="B138" s="4">
        <v>2063.3980000000001</v>
      </c>
      <c r="C138">
        <v>136</v>
      </c>
      <c r="D138">
        <f t="shared" si="15"/>
        <v>18496</v>
      </c>
      <c r="E138">
        <f t="shared" si="16"/>
        <v>7.6321094173917921</v>
      </c>
      <c r="F138" s="21">
        <f t="shared" si="17"/>
        <v>4</v>
      </c>
      <c r="G138">
        <f t="shared" si="13"/>
        <v>0</v>
      </c>
      <c r="H138">
        <f t="shared" si="14"/>
        <v>0</v>
      </c>
      <c r="I138">
        <f t="shared" si="14"/>
        <v>0</v>
      </c>
      <c r="J138">
        <f t="shared" si="14"/>
        <v>1</v>
      </c>
      <c r="K138">
        <f t="shared" si="14"/>
        <v>0</v>
      </c>
      <c r="L138">
        <f t="shared" si="14"/>
        <v>0</v>
      </c>
      <c r="M138">
        <f t="shared" si="14"/>
        <v>0</v>
      </c>
      <c r="N138">
        <f t="shared" si="14"/>
        <v>0</v>
      </c>
      <c r="O138">
        <f t="shared" si="14"/>
        <v>0</v>
      </c>
      <c r="P138">
        <f t="shared" si="14"/>
        <v>0</v>
      </c>
      <c r="Q138">
        <f t="shared" si="14"/>
        <v>0</v>
      </c>
      <c r="R138">
        <f t="shared" si="14"/>
        <v>0</v>
      </c>
      <c r="S138" t="e">
        <f>#REF!</f>
        <v>#REF!</v>
      </c>
      <c r="T138" t="e">
        <f>#REF!</f>
        <v>#REF!</v>
      </c>
      <c r="U138" t="e">
        <f>#REF!</f>
        <v>#REF!</v>
      </c>
      <c r="V138" t="e">
        <f>#REF!</f>
        <v>#REF!</v>
      </c>
    </row>
    <row r="139" spans="1:22" x14ac:dyDescent="0.35">
      <c r="A139" s="3">
        <v>37377</v>
      </c>
      <c r="B139" s="4">
        <v>2085.7629999999999</v>
      </c>
      <c r="C139">
        <v>137</v>
      </c>
      <c r="D139">
        <f t="shared" si="15"/>
        <v>18769</v>
      </c>
      <c r="E139">
        <f t="shared" si="16"/>
        <v>7.642890014532747</v>
      </c>
      <c r="F139" s="21">
        <f t="shared" si="17"/>
        <v>5</v>
      </c>
      <c r="G139">
        <f t="shared" si="13"/>
        <v>0</v>
      </c>
      <c r="H139">
        <f t="shared" si="14"/>
        <v>0</v>
      </c>
      <c r="I139">
        <f t="shared" si="14"/>
        <v>0</v>
      </c>
      <c r="J139">
        <f t="shared" si="14"/>
        <v>0</v>
      </c>
      <c r="K139">
        <f t="shared" si="14"/>
        <v>1</v>
      </c>
      <c r="L139">
        <f t="shared" si="14"/>
        <v>0</v>
      </c>
      <c r="M139">
        <f t="shared" si="14"/>
        <v>0</v>
      </c>
      <c r="N139">
        <f t="shared" si="14"/>
        <v>0</v>
      </c>
      <c r="O139">
        <f t="shared" si="14"/>
        <v>0</v>
      </c>
      <c r="P139">
        <f t="shared" si="14"/>
        <v>0</v>
      </c>
      <c r="Q139">
        <f t="shared" si="14"/>
        <v>0</v>
      </c>
      <c r="R139">
        <f t="shared" si="14"/>
        <v>0</v>
      </c>
      <c r="S139" t="e">
        <f>#REF!</f>
        <v>#REF!</v>
      </c>
      <c r="T139" t="e">
        <f>#REF!</f>
        <v>#REF!</v>
      </c>
      <c r="U139" t="e">
        <f>#REF!</f>
        <v>#REF!</v>
      </c>
      <c r="V139" t="e">
        <f>#REF!</f>
        <v>#REF!</v>
      </c>
    </row>
    <row r="140" spans="1:22" x14ac:dyDescent="0.35">
      <c r="A140" s="3">
        <v>37408</v>
      </c>
      <c r="B140" s="4">
        <v>2011.2670000000001</v>
      </c>
      <c r="C140">
        <v>138</v>
      </c>
      <c r="D140">
        <f t="shared" si="15"/>
        <v>19044</v>
      </c>
      <c r="E140">
        <f t="shared" si="16"/>
        <v>7.606520150725812</v>
      </c>
      <c r="F140" s="21">
        <f t="shared" si="17"/>
        <v>6</v>
      </c>
      <c r="G140">
        <f t="shared" si="13"/>
        <v>0</v>
      </c>
      <c r="H140">
        <f t="shared" si="14"/>
        <v>0</v>
      </c>
      <c r="I140">
        <f t="shared" si="14"/>
        <v>0</v>
      </c>
      <c r="J140">
        <f t="shared" si="14"/>
        <v>0</v>
      </c>
      <c r="K140">
        <f t="shared" si="14"/>
        <v>0</v>
      </c>
      <c r="L140">
        <f t="shared" si="14"/>
        <v>1</v>
      </c>
      <c r="M140">
        <f t="shared" si="14"/>
        <v>0</v>
      </c>
      <c r="N140">
        <f t="shared" si="14"/>
        <v>0</v>
      </c>
      <c r="O140">
        <f t="shared" si="14"/>
        <v>0</v>
      </c>
      <c r="P140">
        <f t="shared" si="14"/>
        <v>0</v>
      </c>
      <c r="Q140">
        <f t="shared" si="14"/>
        <v>0</v>
      </c>
      <c r="R140">
        <f t="shared" si="14"/>
        <v>0</v>
      </c>
      <c r="S140" t="e">
        <f>#REF!</f>
        <v>#REF!</v>
      </c>
      <c r="T140" t="e">
        <f>#REF!</f>
        <v>#REF!</v>
      </c>
      <c r="U140" t="e">
        <f>#REF!</f>
        <v>#REF!</v>
      </c>
      <c r="V140" t="e">
        <f>#REF!</f>
        <v>#REF!</v>
      </c>
    </row>
    <row r="141" spans="1:22" x14ac:dyDescent="0.35">
      <c r="A141" s="3">
        <v>37438</v>
      </c>
      <c r="B141" s="4">
        <v>2089.2579999999998</v>
      </c>
      <c r="C141">
        <v>139</v>
      </c>
      <c r="D141">
        <f t="shared" si="15"/>
        <v>19321</v>
      </c>
      <c r="E141">
        <f t="shared" si="16"/>
        <v>7.6445642579994981</v>
      </c>
      <c r="F141" s="21">
        <f t="shared" si="17"/>
        <v>7</v>
      </c>
      <c r="G141">
        <f t="shared" si="13"/>
        <v>0</v>
      </c>
      <c r="H141">
        <f t="shared" si="14"/>
        <v>0</v>
      </c>
      <c r="I141">
        <f t="shared" si="14"/>
        <v>0</v>
      </c>
      <c r="J141">
        <f t="shared" si="14"/>
        <v>0</v>
      </c>
      <c r="K141">
        <f t="shared" si="14"/>
        <v>0</v>
      </c>
      <c r="L141">
        <f t="shared" si="14"/>
        <v>0</v>
      </c>
      <c r="M141">
        <f t="shared" si="14"/>
        <v>1</v>
      </c>
      <c r="N141">
        <f t="shared" si="14"/>
        <v>0</v>
      </c>
      <c r="O141">
        <f t="shared" si="14"/>
        <v>0</v>
      </c>
      <c r="P141">
        <f t="shared" si="14"/>
        <v>0</v>
      </c>
      <c r="Q141">
        <f t="shared" si="14"/>
        <v>0</v>
      </c>
      <c r="R141">
        <f t="shared" si="14"/>
        <v>0</v>
      </c>
      <c r="S141" t="e">
        <f>#REF!</f>
        <v>#REF!</v>
      </c>
      <c r="T141" t="e">
        <f>#REF!</f>
        <v>#REF!</v>
      </c>
      <c r="U141" t="e">
        <f>#REF!</f>
        <v>#REF!</v>
      </c>
      <c r="V141" t="e">
        <f>#REF!</f>
        <v>#REF!</v>
      </c>
    </row>
    <row r="142" spans="1:22" x14ac:dyDescent="0.35">
      <c r="A142" s="3">
        <v>37469</v>
      </c>
      <c r="B142" s="4">
        <v>2043.56</v>
      </c>
      <c r="C142">
        <v>140</v>
      </c>
      <c r="D142">
        <f t="shared" si="15"/>
        <v>19600</v>
      </c>
      <c r="E142">
        <f t="shared" si="16"/>
        <v>7.6224486639630671</v>
      </c>
      <c r="F142" s="21">
        <f t="shared" si="17"/>
        <v>8</v>
      </c>
      <c r="G142">
        <f t="shared" si="13"/>
        <v>0</v>
      </c>
      <c r="H142">
        <f t="shared" si="14"/>
        <v>0</v>
      </c>
      <c r="I142">
        <f t="shared" si="14"/>
        <v>0</v>
      </c>
      <c r="J142">
        <f t="shared" si="14"/>
        <v>0</v>
      </c>
      <c r="K142">
        <f t="shared" si="14"/>
        <v>0</v>
      </c>
      <c r="L142">
        <f t="shared" si="14"/>
        <v>0</v>
      </c>
      <c r="M142">
        <f t="shared" si="14"/>
        <v>0</v>
      </c>
      <c r="N142">
        <f t="shared" si="14"/>
        <v>1</v>
      </c>
      <c r="O142">
        <f t="shared" si="14"/>
        <v>0</v>
      </c>
      <c r="P142">
        <f t="shared" si="14"/>
        <v>0</v>
      </c>
      <c r="Q142">
        <f t="shared" si="14"/>
        <v>0</v>
      </c>
      <c r="R142">
        <f t="shared" si="14"/>
        <v>0</v>
      </c>
      <c r="S142" t="e">
        <f>#REF!</f>
        <v>#REF!</v>
      </c>
      <c r="T142" t="e">
        <f>#REF!</f>
        <v>#REF!</v>
      </c>
      <c r="U142" t="e">
        <f>#REF!</f>
        <v>#REF!</v>
      </c>
      <c r="V142" t="e">
        <f>#REF!</f>
        <v>#REF!</v>
      </c>
    </row>
    <row r="143" spans="1:22" x14ac:dyDescent="0.35">
      <c r="A143" s="3">
        <v>37500</v>
      </c>
      <c r="B143" s="4">
        <v>1746.155</v>
      </c>
      <c r="C143">
        <v>141</v>
      </c>
      <c r="D143">
        <f t="shared" si="15"/>
        <v>19881</v>
      </c>
      <c r="E143">
        <f t="shared" si="16"/>
        <v>7.4651715068006901</v>
      </c>
      <c r="F143" s="21">
        <f t="shared" si="17"/>
        <v>9</v>
      </c>
      <c r="G143">
        <f t="shared" si="13"/>
        <v>0</v>
      </c>
      <c r="H143">
        <f t="shared" si="14"/>
        <v>0</v>
      </c>
      <c r="I143">
        <f t="shared" si="14"/>
        <v>0</v>
      </c>
      <c r="J143">
        <f t="shared" si="14"/>
        <v>0</v>
      </c>
      <c r="K143">
        <f t="shared" si="14"/>
        <v>0</v>
      </c>
      <c r="L143">
        <f t="shared" si="14"/>
        <v>0</v>
      </c>
      <c r="M143">
        <f t="shared" si="14"/>
        <v>0</v>
      </c>
      <c r="N143">
        <f t="shared" si="14"/>
        <v>0</v>
      </c>
      <c r="O143">
        <f t="shared" si="14"/>
        <v>1</v>
      </c>
      <c r="P143">
        <f t="shared" si="14"/>
        <v>0</v>
      </c>
      <c r="Q143">
        <f t="shared" si="14"/>
        <v>0</v>
      </c>
      <c r="R143">
        <f t="shared" si="14"/>
        <v>0</v>
      </c>
      <c r="S143" t="e">
        <f>#REF!</f>
        <v>#REF!</v>
      </c>
      <c r="T143" t="e">
        <f>#REF!</f>
        <v>#REF!</v>
      </c>
      <c r="U143" t="e">
        <f>#REF!</f>
        <v>#REF!</v>
      </c>
      <c r="V143" t="e">
        <f>#REF!</f>
        <v>#REF!</v>
      </c>
    </row>
    <row r="144" spans="1:22" x14ac:dyDescent="0.35">
      <c r="A144" s="3">
        <v>37530</v>
      </c>
      <c r="B144" s="4">
        <v>1929.771</v>
      </c>
      <c r="C144">
        <v>142</v>
      </c>
      <c r="D144">
        <f t="shared" si="15"/>
        <v>20164</v>
      </c>
      <c r="E144">
        <f t="shared" si="16"/>
        <v>7.5651566220093844</v>
      </c>
      <c r="F144" s="21">
        <f t="shared" si="17"/>
        <v>10</v>
      </c>
      <c r="G144">
        <f t="shared" si="13"/>
        <v>0</v>
      </c>
      <c r="H144">
        <f t="shared" si="14"/>
        <v>0</v>
      </c>
      <c r="I144">
        <f t="shared" si="14"/>
        <v>0</v>
      </c>
      <c r="J144">
        <f t="shared" si="14"/>
        <v>0</v>
      </c>
      <c r="K144">
        <f t="shared" si="14"/>
        <v>0</v>
      </c>
      <c r="L144">
        <f t="shared" si="14"/>
        <v>0</v>
      </c>
      <c r="M144">
        <f t="shared" si="14"/>
        <v>0</v>
      </c>
      <c r="N144">
        <f t="shared" si="14"/>
        <v>0</v>
      </c>
      <c r="O144">
        <f t="shared" si="14"/>
        <v>0</v>
      </c>
      <c r="P144">
        <f t="shared" si="14"/>
        <v>1</v>
      </c>
      <c r="Q144">
        <f t="shared" si="14"/>
        <v>0</v>
      </c>
      <c r="R144">
        <f t="shared" si="14"/>
        <v>0</v>
      </c>
      <c r="S144" t="e">
        <f>#REF!</f>
        <v>#REF!</v>
      </c>
      <c r="T144" t="e">
        <f>#REF!</f>
        <v>#REF!</v>
      </c>
      <c r="U144" t="e">
        <f>#REF!</f>
        <v>#REF!</v>
      </c>
      <c r="V144" t="e">
        <f>#REF!</f>
        <v>#REF!</v>
      </c>
    </row>
    <row r="145" spans="1:22" x14ac:dyDescent="0.35">
      <c r="A145" s="3">
        <v>37561</v>
      </c>
      <c r="B145" s="4">
        <v>1874.345</v>
      </c>
      <c r="C145">
        <v>143</v>
      </c>
      <c r="D145">
        <f t="shared" si="15"/>
        <v>20449</v>
      </c>
      <c r="E145">
        <f t="shared" si="16"/>
        <v>7.536014544040075</v>
      </c>
      <c r="F145" s="21">
        <f t="shared" si="17"/>
        <v>11</v>
      </c>
      <c r="G145">
        <f t="shared" si="13"/>
        <v>0</v>
      </c>
      <c r="H145">
        <f t="shared" si="14"/>
        <v>0</v>
      </c>
      <c r="I145">
        <f t="shared" si="14"/>
        <v>0</v>
      </c>
      <c r="J145">
        <f t="shared" si="14"/>
        <v>0</v>
      </c>
      <c r="K145">
        <f t="shared" si="14"/>
        <v>0</v>
      </c>
      <c r="L145">
        <f t="shared" si="14"/>
        <v>0</v>
      </c>
      <c r="M145">
        <f t="shared" si="14"/>
        <v>0</v>
      </c>
      <c r="N145">
        <f t="shared" si="14"/>
        <v>0</v>
      </c>
      <c r="O145">
        <f t="shared" si="14"/>
        <v>0</v>
      </c>
      <c r="P145">
        <f t="shared" si="14"/>
        <v>0</v>
      </c>
      <c r="Q145">
        <f t="shared" si="14"/>
        <v>1</v>
      </c>
      <c r="R145">
        <f t="shared" si="14"/>
        <v>0</v>
      </c>
      <c r="S145" t="e">
        <f>#REF!</f>
        <v>#REF!</v>
      </c>
      <c r="T145" t="e">
        <f>#REF!</f>
        <v>#REF!</v>
      </c>
      <c r="U145" t="e">
        <f>#REF!</f>
        <v>#REF!</v>
      </c>
      <c r="V145" t="e">
        <f>#REF!</f>
        <v>#REF!</v>
      </c>
    </row>
    <row r="146" spans="1:22" x14ac:dyDescent="0.35">
      <c r="A146" s="3">
        <v>37591</v>
      </c>
      <c r="B146" s="4">
        <v>2010.3520000000001</v>
      </c>
      <c r="C146">
        <v>144</v>
      </c>
      <c r="D146">
        <f t="shared" si="15"/>
        <v>20736</v>
      </c>
      <c r="E146">
        <f t="shared" si="16"/>
        <v>7.6060651100987471</v>
      </c>
      <c r="F146" s="21">
        <f t="shared" si="17"/>
        <v>12</v>
      </c>
      <c r="G146">
        <f t="shared" si="13"/>
        <v>0</v>
      </c>
      <c r="H146">
        <f t="shared" si="14"/>
        <v>0</v>
      </c>
      <c r="I146">
        <f t="shared" si="14"/>
        <v>0</v>
      </c>
      <c r="J146">
        <f t="shared" si="14"/>
        <v>0</v>
      </c>
      <c r="K146">
        <f t="shared" si="14"/>
        <v>0</v>
      </c>
      <c r="L146">
        <f t="shared" si="14"/>
        <v>0</v>
      </c>
      <c r="M146">
        <f t="shared" si="14"/>
        <v>0</v>
      </c>
      <c r="N146">
        <f t="shared" si="14"/>
        <v>0</v>
      </c>
      <c r="O146">
        <f t="shared" si="14"/>
        <v>0</v>
      </c>
      <c r="P146">
        <f t="shared" si="14"/>
        <v>0</v>
      </c>
      <c r="Q146">
        <f t="shared" si="14"/>
        <v>0</v>
      </c>
      <c r="R146">
        <f t="shared" si="14"/>
        <v>1</v>
      </c>
      <c r="S146" t="e">
        <f>#REF!</f>
        <v>#REF!</v>
      </c>
      <c r="T146" t="e">
        <f>#REF!</f>
        <v>#REF!</v>
      </c>
      <c r="U146" t="e">
        <f>#REF!</f>
        <v>#REF!</v>
      </c>
      <c r="V146" t="e">
        <f>#REF!</f>
        <v>#REF!</v>
      </c>
    </row>
    <row r="147" spans="1:22" x14ac:dyDescent="0.35">
      <c r="A147" s="3">
        <v>37622</v>
      </c>
      <c r="B147" s="4">
        <v>1794.0329999999999</v>
      </c>
      <c r="C147">
        <v>145</v>
      </c>
      <c r="D147">
        <f t="shared" si="15"/>
        <v>21025</v>
      </c>
      <c r="E147">
        <f t="shared" si="16"/>
        <v>7.4922214370983911</v>
      </c>
      <c r="F147" s="21">
        <f t="shared" si="17"/>
        <v>1</v>
      </c>
      <c r="G147">
        <f t="shared" si="13"/>
        <v>1</v>
      </c>
      <c r="H147">
        <f t="shared" si="14"/>
        <v>0</v>
      </c>
      <c r="I147">
        <f t="shared" si="14"/>
        <v>0</v>
      </c>
      <c r="J147">
        <f t="shared" si="14"/>
        <v>0</v>
      </c>
      <c r="K147">
        <f t="shared" si="14"/>
        <v>0</v>
      </c>
      <c r="L147">
        <f t="shared" si="14"/>
        <v>0</v>
      </c>
      <c r="M147">
        <f t="shared" si="14"/>
        <v>0</v>
      </c>
      <c r="N147">
        <f t="shared" si="14"/>
        <v>0</v>
      </c>
      <c r="O147">
        <f t="shared" si="14"/>
        <v>0</v>
      </c>
      <c r="P147">
        <f t="shared" si="14"/>
        <v>0</v>
      </c>
      <c r="Q147">
        <f t="shared" si="14"/>
        <v>0</v>
      </c>
      <c r="R147">
        <f t="shared" si="14"/>
        <v>0</v>
      </c>
      <c r="S147" t="e">
        <f>#REF!</f>
        <v>#REF!</v>
      </c>
      <c r="T147" t="e">
        <f>#REF!</f>
        <v>#REF!</v>
      </c>
      <c r="U147" t="e">
        <f>#REF!</f>
        <v>#REF!</v>
      </c>
      <c r="V147" t="e">
        <f>#REF!</f>
        <v>#REF!</v>
      </c>
    </row>
    <row r="148" spans="1:22" x14ac:dyDescent="0.35">
      <c r="A148" s="3">
        <v>37653</v>
      </c>
      <c r="B148" s="4">
        <v>1762.489</v>
      </c>
      <c r="C148">
        <v>146</v>
      </c>
      <c r="D148">
        <f t="shared" si="15"/>
        <v>21316</v>
      </c>
      <c r="E148">
        <f t="shared" si="16"/>
        <v>7.474482293532196</v>
      </c>
      <c r="F148" s="21">
        <f t="shared" si="17"/>
        <v>2</v>
      </c>
      <c r="G148">
        <f t="shared" si="13"/>
        <v>0</v>
      </c>
      <c r="H148">
        <f t="shared" si="14"/>
        <v>1</v>
      </c>
      <c r="I148">
        <f t="shared" si="14"/>
        <v>0</v>
      </c>
      <c r="J148">
        <f t="shared" si="14"/>
        <v>0</v>
      </c>
      <c r="K148">
        <f t="shared" si="14"/>
        <v>0</v>
      </c>
      <c r="L148">
        <f t="shared" si="14"/>
        <v>0</v>
      </c>
      <c r="M148">
        <f t="shared" si="14"/>
        <v>0</v>
      </c>
      <c r="N148">
        <f t="shared" si="14"/>
        <v>0</v>
      </c>
      <c r="O148">
        <f t="shared" si="14"/>
        <v>0</v>
      </c>
      <c r="P148">
        <f t="shared" si="14"/>
        <v>0</v>
      </c>
      <c r="Q148">
        <f t="shared" si="14"/>
        <v>0</v>
      </c>
      <c r="R148">
        <f t="shared" si="14"/>
        <v>0</v>
      </c>
      <c r="S148" t="e">
        <f>#REF!</f>
        <v>#REF!</v>
      </c>
      <c r="T148" t="e">
        <f>#REF!</f>
        <v>#REF!</v>
      </c>
      <c r="U148" t="e">
        <f>#REF!</f>
        <v>#REF!</v>
      </c>
      <c r="V148" t="e">
        <f>#REF!</f>
        <v>#REF!</v>
      </c>
    </row>
    <row r="149" spans="1:22" x14ac:dyDescent="0.35">
      <c r="A149" s="3">
        <v>37681</v>
      </c>
      <c r="B149" s="4">
        <v>2082.4659999999999</v>
      </c>
      <c r="C149">
        <v>147</v>
      </c>
      <c r="D149">
        <f t="shared" si="15"/>
        <v>21609</v>
      </c>
      <c r="E149">
        <f t="shared" si="16"/>
        <v>7.6413080473771062</v>
      </c>
      <c r="F149" s="21">
        <f t="shared" si="17"/>
        <v>3</v>
      </c>
      <c r="G149">
        <f t="shared" si="13"/>
        <v>0</v>
      </c>
      <c r="H149">
        <f t="shared" si="14"/>
        <v>0</v>
      </c>
      <c r="I149">
        <f t="shared" si="14"/>
        <v>1</v>
      </c>
      <c r="J149">
        <f t="shared" si="14"/>
        <v>0</v>
      </c>
      <c r="K149">
        <f t="shared" si="14"/>
        <v>0</v>
      </c>
      <c r="L149">
        <f t="shared" si="14"/>
        <v>0</v>
      </c>
      <c r="M149">
        <f t="shared" si="14"/>
        <v>0</v>
      </c>
      <c r="N149">
        <f t="shared" si="14"/>
        <v>0</v>
      </c>
      <c r="O149">
        <f t="shared" si="14"/>
        <v>0</v>
      </c>
      <c r="P149">
        <f t="shared" si="14"/>
        <v>0</v>
      </c>
      <c r="Q149">
        <f t="shared" si="14"/>
        <v>0</v>
      </c>
      <c r="R149">
        <f t="shared" ref="H149:R161" si="18">IF($F149=R$1,1,0)</f>
        <v>0</v>
      </c>
      <c r="S149" t="e">
        <f>#REF!</f>
        <v>#REF!</v>
      </c>
      <c r="T149" t="e">
        <f>#REF!</f>
        <v>#REF!</v>
      </c>
      <c r="U149" t="e">
        <f>#REF!</f>
        <v>#REF!</v>
      </c>
      <c r="V149" t="e">
        <f>#REF!</f>
        <v>#REF!</v>
      </c>
    </row>
    <row r="150" spans="1:22" x14ac:dyDescent="0.35">
      <c r="A150" s="3">
        <v>37712</v>
      </c>
      <c r="B150" s="4">
        <v>2115.8989999999999</v>
      </c>
      <c r="C150">
        <v>148</v>
      </c>
      <c r="D150">
        <f t="shared" si="15"/>
        <v>21904</v>
      </c>
      <c r="E150">
        <f t="shared" si="16"/>
        <v>7.6572350602700041</v>
      </c>
      <c r="F150" s="21">
        <f t="shared" si="17"/>
        <v>4</v>
      </c>
      <c r="G150">
        <f t="shared" si="13"/>
        <v>0</v>
      </c>
      <c r="H150">
        <f t="shared" si="18"/>
        <v>0</v>
      </c>
      <c r="I150">
        <f t="shared" si="18"/>
        <v>0</v>
      </c>
      <c r="J150">
        <f t="shared" si="18"/>
        <v>1</v>
      </c>
      <c r="K150">
        <f t="shared" si="18"/>
        <v>0</v>
      </c>
      <c r="L150">
        <f t="shared" si="18"/>
        <v>0</v>
      </c>
      <c r="M150">
        <f t="shared" si="18"/>
        <v>0</v>
      </c>
      <c r="N150">
        <f t="shared" si="18"/>
        <v>0</v>
      </c>
      <c r="O150">
        <f t="shared" si="18"/>
        <v>0</v>
      </c>
      <c r="P150">
        <f t="shared" si="18"/>
        <v>0</v>
      </c>
      <c r="Q150">
        <f t="shared" si="18"/>
        <v>0</v>
      </c>
      <c r="R150">
        <f t="shared" si="18"/>
        <v>0</v>
      </c>
      <c r="S150" t="e">
        <f>#REF!</f>
        <v>#REF!</v>
      </c>
      <c r="T150" t="e">
        <f>#REF!</f>
        <v>#REF!</v>
      </c>
      <c r="U150" t="e">
        <f>#REF!</f>
        <v>#REF!</v>
      </c>
      <c r="V150" t="e">
        <f>#REF!</f>
        <v>#REF!</v>
      </c>
    </row>
    <row r="151" spans="1:22" x14ac:dyDescent="0.35">
      <c r="A151" s="3">
        <v>37742</v>
      </c>
      <c r="B151" s="4">
        <v>2120.9110000000001</v>
      </c>
      <c r="C151">
        <v>149</v>
      </c>
      <c r="D151">
        <f t="shared" si="15"/>
        <v>22201</v>
      </c>
      <c r="E151">
        <f t="shared" si="16"/>
        <v>7.6596009923452897</v>
      </c>
      <c r="F151" s="21">
        <f t="shared" si="17"/>
        <v>5</v>
      </c>
      <c r="G151">
        <f t="shared" si="13"/>
        <v>0</v>
      </c>
      <c r="H151">
        <f t="shared" si="18"/>
        <v>0</v>
      </c>
      <c r="I151">
        <f t="shared" si="18"/>
        <v>0</v>
      </c>
      <c r="J151">
        <f t="shared" si="18"/>
        <v>0</v>
      </c>
      <c r="K151">
        <f t="shared" si="18"/>
        <v>1</v>
      </c>
      <c r="L151">
        <f t="shared" si="18"/>
        <v>0</v>
      </c>
      <c r="M151">
        <f t="shared" si="18"/>
        <v>0</v>
      </c>
      <c r="N151">
        <f t="shared" si="18"/>
        <v>0</v>
      </c>
      <c r="O151">
        <f t="shared" si="18"/>
        <v>0</v>
      </c>
      <c r="P151">
        <f t="shared" si="18"/>
        <v>0</v>
      </c>
      <c r="Q151">
        <f t="shared" si="18"/>
        <v>0</v>
      </c>
      <c r="R151">
        <f t="shared" si="18"/>
        <v>0</v>
      </c>
      <c r="S151" t="e">
        <f>#REF!</f>
        <v>#REF!</v>
      </c>
      <c r="T151" t="e">
        <f>#REF!</f>
        <v>#REF!</v>
      </c>
      <c r="U151" t="e">
        <f>#REF!</f>
        <v>#REF!</v>
      </c>
      <c r="V151" t="e">
        <f>#REF!</f>
        <v>#REF!</v>
      </c>
    </row>
    <row r="152" spans="1:22" x14ac:dyDescent="0.35">
      <c r="A152" s="3">
        <v>37773</v>
      </c>
      <c r="B152" s="4">
        <v>2143.6709999999998</v>
      </c>
      <c r="C152">
        <v>150</v>
      </c>
      <c r="D152">
        <f t="shared" si="15"/>
        <v>22500</v>
      </c>
      <c r="E152">
        <f t="shared" si="16"/>
        <v>7.67027505892327</v>
      </c>
      <c r="F152" s="21">
        <f t="shared" si="17"/>
        <v>6</v>
      </c>
      <c r="G152">
        <f t="shared" si="13"/>
        <v>0</v>
      </c>
      <c r="H152">
        <f t="shared" si="18"/>
        <v>0</v>
      </c>
      <c r="I152">
        <f t="shared" si="18"/>
        <v>0</v>
      </c>
      <c r="J152">
        <f t="shared" si="18"/>
        <v>0</v>
      </c>
      <c r="K152">
        <f t="shared" si="18"/>
        <v>0</v>
      </c>
      <c r="L152">
        <f t="shared" si="18"/>
        <v>1</v>
      </c>
      <c r="M152">
        <f t="shared" si="18"/>
        <v>0</v>
      </c>
      <c r="N152">
        <f t="shared" si="18"/>
        <v>0</v>
      </c>
      <c r="O152">
        <f t="shared" si="18"/>
        <v>0</v>
      </c>
      <c r="P152">
        <f t="shared" si="18"/>
        <v>0</v>
      </c>
      <c r="Q152">
        <f t="shared" si="18"/>
        <v>0</v>
      </c>
      <c r="R152">
        <f t="shared" si="18"/>
        <v>0</v>
      </c>
      <c r="S152" t="e">
        <f>#REF!</f>
        <v>#REF!</v>
      </c>
      <c r="T152" t="e">
        <f>#REF!</f>
        <v>#REF!</v>
      </c>
      <c r="U152" t="e">
        <f>#REF!</f>
        <v>#REF!</v>
      </c>
      <c r="V152" t="e">
        <f>#REF!</f>
        <v>#REF!</v>
      </c>
    </row>
    <row r="153" spans="1:22" x14ac:dyDescent="0.35">
      <c r="A153" s="3">
        <v>37803</v>
      </c>
      <c r="B153" s="4">
        <v>2236.3490000000002</v>
      </c>
      <c r="C153">
        <v>151</v>
      </c>
      <c r="D153">
        <f t="shared" si="15"/>
        <v>22801</v>
      </c>
      <c r="E153">
        <f t="shared" si="16"/>
        <v>7.71259990438522</v>
      </c>
      <c r="F153" s="21">
        <f t="shared" si="17"/>
        <v>7</v>
      </c>
      <c r="G153">
        <f t="shared" si="13"/>
        <v>0</v>
      </c>
      <c r="H153">
        <f t="shared" si="18"/>
        <v>0</v>
      </c>
      <c r="I153">
        <f t="shared" si="18"/>
        <v>0</v>
      </c>
      <c r="J153">
        <f t="shared" si="18"/>
        <v>0</v>
      </c>
      <c r="K153">
        <f t="shared" si="18"/>
        <v>0</v>
      </c>
      <c r="L153">
        <f t="shared" si="18"/>
        <v>0</v>
      </c>
      <c r="M153">
        <f t="shared" si="18"/>
        <v>1</v>
      </c>
      <c r="N153">
        <f t="shared" si="18"/>
        <v>0</v>
      </c>
      <c r="O153">
        <f t="shared" si="18"/>
        <v>0</v>
      </c>
      <c r="P153">
        <f t="shared" si="18"/>
        <v>0</v>
      </c>
      <c r="Q153">
        <f t="shared" si="18"/>
        <v>0</v>
      </c>
      <c r="R153">
        <f t="shared" si="18"/>
        <v>0</v>
      </c>
      <c r="S153" t="e">
        <f>#REF!</f>
        <v>#REF!</v>
      </c>
      <c r="T153" t="e">
        <f>#REF!</f>
        <v>#REF!</v>
      </c>
      <c r="U153" t="e">
        <f>#REF!</f>
        <v>#REF!</v>
      </c>
      <c r="V153" t="e">
        <f>#REF!</f>
        <v>#REF!</v>
      </c>
    </row>
    <row r="154" spans="1:22" x14ac:dyDescent="0.35">
      <c r="A154" s="3">
        <v>37834</v>
      </c>
      <c r="B154" s="4">
        <v>2189.36</v>
      </c>
      <c r="C154">
        <v>152</v>
      </c>
      <c r="D154">
        <f t="shared" si="15"/>
        <v>23104</v>
      </c>
      <c r="E154">
        <f t="shared" si="16"/>
        <v>7.6913645426579418</v>
      </c>
      <c r="F154" s="21">
        <f t="shared" si="17"/>
        <v>8</v>
      </c>
      <c r="G154">
        <f t="shared" si="13"/>
        <v>0</v>
      </c>
      <c r="H154">
        <f t="shared" si="18"/>
        <v>0</v>
      </c>
      <c r="I154">
        <f t="shared" si="18"/>
        <v>0</v>
      </c>
      <c r="J154">
        <f t="shared" si="18"/>
        <v>0</v>
      </c>
      <c r="K154">
        <f t="shared" si="18"/>
        <v>0</v>
      </c>
      <c r="L154">
        <f t="shared" si="18"/>
        <v>0</v>
      </c>
      <c r="M154">
        <f t="shared" si="18"/>
        <v>0</v>
      </c>
      <c r="N154">
        <f t="shared" si="18"/>
        <v>1</v>
      </c>
      <c r="O154">
        <f t="shared" si="18"/>
        <v>0</v>
      </c>
      <c r="P154">
        <f t="shared" si="18"/>
        <v>0</v>
      </c>
      <c r="Q154">
        <f t="shared" si="18"/>
        <v>0</v>
      </c>
      <c r="R154">
        <f t="shared" si="18"/>
        <v>0</v>
      </c>
      <c r="S154" t="e">
        <f>#REF!</f>
        <v>#REF!</v>
      </c>
      <c r="T154" t="e">
        <f>#REF!</f>
        <v>#REF!</v>
      </c>
      <c r="U154" t="e">
        <f>#REF!</f>
        <v>#REF!</v>
      </c>
      <c r="V154" t="e">
        <f>#REF!</f>
        <v>#REF!</v>
      </c>
    </row>
    <row r="155" spans="1:22" x14ac:dyDescent="0.35">
      <c r="A155" s="3">
        <v>37865</v>
      </c>
      <c r="B155" s="4">
        <v>1943.4059999999999</v>
      </c>
      <c r="C155">
        <v>153</v>
      </c>
      <c r="D155">
        <f t="shared" si="15"/>
        <v>23409</v>
      </c>
      <c r="E155">
        <f t="shared" si="16"/>
        <v>7.5721973827732185</v>
      </c>
      <c r="F155" s="21">
        <f t="shared" si="17"/>
        <v>9</v>
      </c>
      <c r="G155">
        <f t="shared" si="13"/>
        <v>0</v>
      </c>
      <c r="H155">
        <f t="shared" si="18"/>
        <v>0</v>
      </c>
      <c r="I155">
        <f t="shared" si="18"/>
        <v>0</v>
      </c>
      <c r="J155">
        <f t="shared" si="18"/>
        <v>0</v>
      </c>
      <c r="K155">
        <f t="shared" si="18"/>
        <v>0</v>
      </c>
      <c r="L155">
        <f t="shared" si="18"/>
        <v>0</v>
      </c>
      <c r="M155">
        <f t="shared" si="18"/>
        <v>0</v>
      </c>
      <c r="N155">
        <f t="shared" si="18"/>
        <v>0</v>
      </c>
      <c r="O155">
        <f t="shared" si="18"/>
        <v>1</v>
      </c>
      <c r="P155">
        <f t="shared" si="18"/>
        <v>0</v>
      </c>
      <c r="Q155">
        <f t="shared" si="18"/>
        <v>0</v>
      </c>
      <c r="R155">
        <f t="shared" si="18"/>
        <v>0</v>
      </c>
      <c r="S155" t="e">
        <f>#REF!</f>
        <v>#REF!</v>
      </c>
      <c r="T155" t="e">
        <f>#REF!</f>
        <v>#REF!</v>
      </c>
      <c r="U155" t="e">
        <f>#REF!</f>
        <v>#REF!</v>
      </c>
      <c r="V155" t="e">
        <f>#REF!</f>
        <v>#REF!</v>
      </c>
    </row>
    <row r="156" spans="1:22" x14ac:dyDescent="0.35">
      <c r="A156" s="3">
        <v>37895</v>
      </c>
      <c r="B156" s="4">
        <v>2135.4699999999998</v>
      </c>
      <c r="C156">
        <v>154</v>
      </c>
      <c r="D156">
        <f t="shared" si="15"/>
        <v>23716</v>
      </c>
      <c r="E156">
        <f t="shared" si="16"/>
        <v>7.6664420419505799</v>
      </c>
      <c r="F156" s="21">
        <f t="shared" si="17"/>
        <v>10</v>
      </c>
      <c r="G156">
        <f t="shared" si="13"/>
        <v>0</v>
      </c>
      <c r="H156">
        <f t="shared" si="18"/>
        <v>0</v>
      </c>
      <c r="I156">
        <f t="shared" si="18"/>
        <v>0</v>
      </c>
      <c r="J156">
        <f t="shared" si="18"/>
        <v>0</v>
      </c>
      <c r="K156">
        <f t="shared" si="18"/>
        <v>0</v>
      </c>
      <c r="L156">
        <f t="shared" si="18"/>
        <v>0</v>
      </c>
      <c r="M156">
        <f t="shared" si="18"/>
        <v>0</v>
      </c>
      <c r="N156">
        <f t="shared" si="18"/>
        <v>0</v>
      </c>
      <c r="O156">
        <f t="shared" si="18"/>
        <v>0</v>
      </c>
      <c r="P156">
        <f t="shared" si="18"/>
        <v>1</v>
      </c>
      <c r="Q156">
        <f t="shared" si="18"/>
        <v>0</v>
      </c>
      <c r="R156">
        <f t="shared" si="18"/>
        <v>0</v>
      </c>
      <c r="S156" t="e">
        <f>#REF!</f>
        <v>#REF!</v>
      </c>
      <c r="T156" t="e">
        <f>#REF!</f>
        <v>#REF!</v>
      </c>
      <c r="U156" t="e">
        <f>#REF!</f>
        <v>#REF!</v>
      </c>
      <c r="V156" t="e">
        <f>#REF!</f>
        <v>#REF!</v>
      </c>
    </row>
    <row r="157" spans="1:22" x14ac:dyDescent="0.35">
      <c r="A157" s="3">
        <v>37926</v>
      </c>
      <c r="B157" s="4">
        <v>2091.0540000000001</v>
      </c>
      <c r="C157">
        <v>155</v>
      </c>
      <c r="D157">
        <f t="shared" si="15"/>
        <v>24025</v>
      </c>
      <c r="E157">
        <f t="shared" si="16"/>
        <v>7.6454235240593071</v>
      </c>
      <c r="F157" s="21">
        <f t="shared" si="17"/>
        <v>11</v>
      </c>
      <c r="G157">
        <f t="shared" si="13"/>
        <v>0</v>
      </c>
      <c r="H157">
        <f t="shared" si="18"/>
        <v>0</v>
      </c>
      <c r="I157">
        <f t="shared" si="18"/>
        <v>0</v>
      </c>
      <c r="J157">
        <f t="shared" si="18"/>
        <v>0</v>
      </c>
      <c r="K157">
        <f t="shared" si="18"/>
        <v>0</v>
      </c>
      <c r="L157">
        <f t="shared" si="18"/>
        <v>0</v>
      </c>
      <c r="M157">
        <f t="shared" si="18"/>
        <v>0</v>
      </c>
      <c r="N157">
        <f t="shared" si="18"/>
        <v>0</v>
      </c>
      <c r="O157">
        <f t="shared" si="18"/>
        <v>0</v>
      </c>
      <c r="P157">
        <f t="shared" si="18"/>
        <v>0</v>
      </c>
      <c r="Q157">
        <f t="shared" si="18"/>
        <v>1</v>
      </c>
      <c r="R157">
        <f t="shared" si="18"/>
        <v>0</v>
      </c>
      <c r="S157" t="e">
        <f>#REF!</f>
        <v>#REF!</v>
      </c>
      <c r="T157" t="e">
        <f>#REF!</f>
        <v>#REF!</v>
      </c>
      <c r="U157" t="e">
        <f>#REF!</f>
        <v>#REF!</v>
      </c>
      <c r="V157" t="e">
        <f>#REF!</f>
        <v>#REF!</v>
      </c>
    </row>
    <row r="158" spans="1:22" x14ac:dyDescent="0.35">
      <c r="A158" s="3">
        <v>37956</v>
      </c>
      <c r="B158" s="4">
        <v>2154.6770000000001</v>
      </c>
      <c r="C158">
        <v>156</v>
      </c>
      <c r="D158">
        <f t="shared" si="15"/>
        <v>24336</v>
      </c>
      <c r="E158">
        <f t="shared" si="16"/>
        <v>7.6753961073134009</v>
      </c>
      <c r="F158" s="21">
        <f t="shared" si="17"/>
        <v>12</v>
      </c>
      <c r="G158">
        <f t="shared" si="13"/>
        <v>0</v>
      </c>
      <c r="H158">
        <f t="shared" si="18"/>
        <v>0</v>
      </c>
      <c r="I158">
        <f t="shared" si="18"/>
        <v>0</v>
      </c>
      <c r="J158">
        <f t="shared" si="18"/>
        <v>0</v>
      </c>
      <c r="K158">
        <f t="shared" si="18"/>
        <v>0</v>
      </c>
      <c r="L158">
        <f t="shared" si="18"/>
        <v>0</v>
      </c>
      <c r="M158">
        <f t="shared" si="18"/>
        <v>0</v>
      </c>
      <c r="N158">
        <f t="shared" si="18"/>
        <v>0</v>
      </c>
      <c r="O158">
        <f t="shared" si="18"/>
        <v>0</v>
      </c>
      <c r="P158">
        <f t="shared" si="18"/>
        <v>0</v>
      </c>
      <c r="Q158">
        <f t="shared" si="18"/>
        <v>0</v>
      </c>
      <c r="R158">
        <f t="shared" si="18"/>
        <v>1</v>
      </c>
      <c r="S158" t="e">
        <f>#REF!</f>
        <v>#REF!</v>
      </c>
      <c r="T158" t="e">
        <f>#REF!</f>
        <v>#REF!</v>
      </c>
      <c r="U158" t="e">
        <f>#REF!</f>
        <v>#REF!</v>
      </c>
      <c r="V158" t="e">
        <f>#REF!</f>
        <v>#REF!</v>
      </c>
    </row>
    <row r="159" spans="1:22" x14ac:dyDescent="0.35">
      <c r="A159" s="3">
        <v>37987</v>
      </c>
      <c r="B159" s="4">
        <v>1847.508</v>
      </c>
      <c r="C159">
        <v>157</v>
      </c>
      <c r="D159">
        <f t="shared" si="15"/>
        <v>24649</v>
      </c>
      <c r="E159">
        <f t="shared" si="16"/>
        <v>7.5215929829888948</v>
      </c>
      <c r="F159" s="21">
        <f t="shared" si="17"/>
        <v>1</v>
      </c>
      <c r="G159">
        <f t="shared" si="13"/>
        <v>1</v>
      </c>
      <c r="H159">
        <f t="shared" si="18"/>
        <v>0</v>
      </c>
      <c r="I159">
        <f t="shared" si="18"/>
        <v>0</v>
      </c>
      <c r="J159">
        <f t="shared" si="18"/>
        <v>0</v>
      </c>
      <c r="K159">
        <f t="shared" si="18"/>
        <v>0</v>
      </c>
      <c r="L159">
        <f t="shared" si="18"/>
        <v>0</v>
      </c>
      <c r="M159">
        <f t="shared" si="18"/>
        <v>0</v>
      </c>
      <c r="N159">
        <f t="shared" si="18"/>
        <v>0</v>
      </c>
      <c r="O159">
        <f t="shared" si="18"/>
        <v>0</v>
      </c>
      <c r="P159">
        <f t="shared" si="18"/>
        <v>0</v>
      </c>
      <c r="Q159">
        <f t="shared" si="18"/>
        <v>0</v>
      </c>
      <c r="R159">
        <f t="shared" si="18"/>
        <v>0</v>
      </c>
      <c r="S159" t="e">
        <f>#REF!</f>
        <v>#REF!</v>
      </c>
      <c r="T159" t="e">
        <f>#REF!</f>
        <v>#REF!</v>
      </c>
      <c r="U159" t="e">
        <f>#REF!</f>
        <v>#REF!</v>
      </c>
      <c r="V159" t="e">
        <f>#REF!</f>
        <v>#REF!</v>
      </c>
    </row>
    <row r="160" spans="1:22" x14ac:dyDescent="0.35">
      <c r="A160" s="3">
        <v>38018</v>
      </c>
      <c r="B160" s="4">
        <v>1852.0060000000001</v>
      </c>
      <c r="C160">
        <v>158</v>
      </c>
      <c r="D160">
        <f t="shared" si="15"/>
        <v>24964</v>
      </c>
      <c r="E160">
        <f t="shared" si="16"/>
        <v>7.5240246549416971</v>
      </c>
      <c r="F160" s="21">
        <f t="shared" si="17"/>
        <v>2</v>
      </c>
      <c r="G160">
        <f t="shared" si="13"/>
        <v>0</v>
      </c>
      <c r="H160">
        <f t="shared" si="18"/>
        <v>1</v>
      </c>
      <c r="I160">
        <f t="shared" si="18"/>
        <v>0</v>
      </c>
      <c r="J160">
        <f t="shared" si="18"/>
        <v>0</v>
      </c>
      <c r="K160">
        <f t="shared" si="18"/>
        <v>0</v>
      </c>
      <c r="L160">
        <f t="shared" si="18"/>
        <v>0</v>
      </c>
      <c r="M160">
        <f t="shared" si="18"/>
        <v>0</v>
      </c>
      <c r="N160">
        <f t="shared" si="18"/>
        <v>0</v>
      </c>
      <c r="O160">
        <f t="shared" si="18"/>
        <v>0</v>
      </c>
      <c r="P160">
        <f t="shared" si="18"/>
        <v>0</v>
      </c>
      <c r="Q160">
        <f t="shared" si="18"/>
        <v>0</v>
      </c>
      <c r="R160">
        <f t="shared" si="18"/>
        <v>0</v>
      </c>
      <c r="S160" t="e">
        <f>#REF!</f>
        <v>#REF!</v>
      </c>
      <c r="T160" t="e">
        <f>#REF!</f>
        <v>#REF!</v>
      </c>
      <c r="U160" t="e">
        <f>#REF!</f>
        <v>#REF!</v>
      </c>
      <c r="V160" t="e">
        <f>#REF!</f>
        <v>#REF!</v>
      </c>
    </row>
    <row r="161" spans="1:22" x14ac:dyDescent="0.35">
      <c r="A161" s="3">
        <v>38047</v>
      </c>
      <c r="B161" s="4">
        <v>2145.4459999999999</v>
      </c>
      <c r="C161">
        <v>159</v>
      </c>
      <c r="D161">
        <f t="shared" si="15"/>
        <v>25281</v>
      </c>
      <c r="E161">
        <f t="shared" si="16"/>
        <v>7.6711027351565511</v>
      </c>
      <c r="F161" s="21">
        <f t="shared" si="17"/>
        <v>3</v>
      </c>
      <c r="G161">
        <f t="shared" si="13"/>
        <v>0</v>
      </c>
      <c r="H161">
        <f t="shared" si="18"/>
        <v>0</v>
      </c>
      <c r="I161">
        <f t="shared" si="18"/>
        <v>1</v>
      </c>
      <c r="J161">
        <f t="shared" si="18"/>
        <v>0</v>
      </c>
      <c r="K161">
        <f t="shared" si="18"/>
        <v>0</v>
      </c>
      <c r="L161">
        <f t="shared" si="18"/>
        <v>0</v>
      </c>
      <c r="M161">
        <f t="shared" si="18"/>
        <v>0</v>
      </c>
      <c r="N161">
        <f t="shared" si="18"/>
        <v>0</v>
      </c>
      <c r="O161">
        <f t="shared" si="18"/>
        <v>0</v>
      </c>
      <c r="P161">
        <f t="shared" si="18"/>
        <v>0</v>
      </c>
      <c r="Q161">
        <f t="shared" si="18"/>
        <v>0</v>
      </c>
      <c r="R161">
        <f t="shared" si="18"/>
        <v>0</v>
      </c>
      <c r="S161" t="e">
        <f>#REF!</f>
        <v>#REF!</v>
      </c>
      <c r="T161" t="e">
        <f>#REF!</f>
        <v>#REF!</v>
      </c>
      <c r="U161" t="e">
        <f>#REF!</f>
        <v>#REF!</v>
      </c>
      <c r="V161" t="e">
        <f>#REF!</f>
        <v>#REF!</v>
      </c>
    </row>
  </sheetData>
  <conditionalFormatting sqref="G1:R1048576 S2:T161 U2:V2">
    <cfRule type="cellIs" dxfId="19" priority="1" operator="equal">
      <formula>1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0160B8-CE2B-4E02-B4BB-7556F18B3A71}">
  <dimension ref="B1:CV196"/>
  <sheetViews>
    <sheetView showGridLines="0" workbookViewId="0"/>
  </sheetViews>
  <sheetFormatPr defaultRowHeight="15.5" x14ac:dyDescent="0.35"/>
  <cols>
    <col min="3" max="4" width="10.5" customWidth="1"/>
    <col min="5" max="5" width="15.25" customWidth="1"/>
    <col min="10" max="10" width="13.83203125" bestFit="1" customWidth="1"/>
  </cols>
  <sheetData>
    <row r="1" spans="2:100" ht="18.5" x14ac:dyDescent="0.45">
      <c r="B1" s="6" t="s">
        <v>4</v>
      </c>
      <c r="N1" t="s">
        <v>221</v>
      </c>
      <c r="CV1" s="13" t="s">
        <v>32</v>
      </c>
    </row>
    <row r="3" spans="2:100" x14ac:dyDescent="0.35">
      <c r="B3" s="25" t="s">
        <v>5</v>
      </c>
      <c r="C3" s="26"/>
      <c r="D3" s="26"/>
      <c r="E3" s="26"/>
      <c r="F3" s="26"/>
      <c r="G3" s="27"/>
      <c r="J3" s="25" t="s">
        <v>6</v>
      </c>
      <c r="K3" s="26"/>
      <c r="L3" s="26"/>
      <c r="M3" s="27"/>
    </row>
    <row r="4" spans="2:100" x14ac:dyDescent="0.35">
      <c r="B4" s="31" t="s">
        <v>11</v>
      </c>
      <c r="C4" s="32"/>
      <c r="D4" s="31" t="s">
        <v>27</v>
      </c>
      <c r="E4" s="32"/>
      <c r="F4" s="31" t="s">
        <v>33</v>
      </c>
      <c r="G4" s="32"/>
      <c r="J4" s="12" t="s">
        <v>7</v>
      </c>
      <c r="K4" s="12" t="s">
        <v>8</v>
      </c>
      <c r="L4" s="12" t="s">
        <v>9</v>
      </c>
      <c r="M4" s="12" t="s">
        <v>10</v>
      </c>
    </row>
    <row r="5" spans="2:100" x14ac:dyDescent="0.35">
      <c r="J5" s="10">
        <v>46</v>
      </c>
      <c r="K5" s="10">
        <v>8</v>
      </c>
      <c r="L5" s="10">
        <v>16</v>
      </c>
      <c r="M5" s="10">
        <v>70</v>
      </c>
    </row>
    <row r="10" spans="2:100" ht="18.5" x14ac:dyDescent="0.45">
      <c r="B10" s="7" t="s">
        <v>11</v>
      </c>
    </row>
    <row r="12" spans="2:100" x14ac:dyDescent="0.35">
      <c r="C12" s="25" t="s">
        <v>12</v>
      </c>
      <c r="D12" s="26"/>
      <c r="E12" s="26"/>
      <c r="F12" s="26"/>
      <c r="G12" s="26"/>
      <c r="H12" s="26"/>
      <c r="I12" s="27"/>
    </row>
    <row r="13" spans="2:100" x14ac:dyDescent="0.35">
      <c r="C13" s="28" t="s">
        <v>13</v>
      </c>
      <c r="D13" s="29"/>
      <c r="E13" s="30"/>
      <c r="F13" s="36" t="s">
        <v>14</v>
      </c>
      <c r="G13" s="37"/>
      <c r="H13" s="37"/>
      <c r="I13" s="32"/>
    </row>
    <row r="14" spans="2:100" x14ac:dyDescent="0.35">
      <c r="C14" s="28" t="s">
        <v>15</v>
      </c>
      <c r="D14" s="29"/>
      <c r="E14" s="30"/>
      <c r="F14" s="36" t="s">
        <v>218</v>
      </c>
      <c r="G14" s="37"/>
      <c r="H14" s="37"/>
      <c r="I14" s="32"/>
    </row>
    <row r="15" spans="2:100" x14ac:dyDescent="0.35">
      <c r="C15" s="28" t="s">
        <v>16</v>
      </c>
      <c r="D15" s="29"/>
      <c r="E15" s="30"/>
      <c r="F15" s="36" t="s">
        <v>222</v>
      </c>
      <c r="G15" s="37"/>
      <c r="H15" s="37"/>
      <c r="I15" s="32"/>
    </row>
    <row r="16" spans="2:100" x14ac:dyDescent="0.35">
      <c r="C16" s="28" t="s">
        <v>17</v>
      </c>
      <c r="D16" s="29"/>
      <c r="E16" s="30"/>
      <c r="F16" s="33">
        <v>159</v>
      </c>
      <c r="G16" s="34"/>
      <c r="H16" s="34"/>
      <c r="I16" s="35"/>
    </row>
    <row r="18" spans="2:19" x14ac:dyDescent="0.35">
      <c r="C18" s="25" t="s">
        <v>18</v>
      </c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7"/>
    </row>
    <row r="19" spans="2:19" x14ac:dyDescent="0.35">
      <c r="C19" s="28" t="s">
        <v>19</v>
      </c>
      <c r="D19" s="29"/>
      <c r="E19" s="30"/>
      <c r="F19" s="33">
        <v>14</v>
      </c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5"/>
    </row>
    <row r="20" spans="2:19" x14ac:dyDescent="0.35">
      <c r="C20" s="28" t="s">
        <v>20</v>
      </c>
      <c r="D20" s="29"/>
      <c r="E20" s="30"/>
      <c r="F20" s="33" t="s">
        <v>3</v>
      </c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5"/>
    </row>
    <row r="21" spans="2:19" x14ac:dyDescent="0.35">
      <c r="C21" s="28" t="s">
        <v>21</v>
      </c>
      <c r="D21" s="29"/>
      <c r="E21" s="30"/>
      <c r="F21" s="10" t="s">
        <v>1</v>
      </c>
      <c r="G21" s="10" t="s">
        <v>202</v>
      </c>
      <c r="H21" s="10" t="s">
        <v>205</v>
      </c>
      <c r="I21" s="10" t="s">
        <v>206</v>
      </c>
      <c r="J21" s="10" t="s">
        <v>207</v>
      </c>
      <c r="K21" s="10" t="s">
        <v>208</v>
      </c>
      <c r="L21" s="10" t="s">
        <v>209</v>
      </c>
      <c r="M21" s="10" t="s">
        <v>210</v>
      </c>
      <c r="N21" s="10" t="s">
        <v>211</v>
      </c>
      <c r="O21" s="10" t="s">
        <v>212</v>
      </c>
      <c r="P21" s="10" t="s">
        <v>213</v>
      </c>
      <c r="Q21" s="10" t="s">
        <v>214</v>
      </c>
      <c r="R21" s="10" t="s">
        <v>215</v>
      </c>
      <c r="S21" s="10" t="s">
        <v>216</v>
      </c>
    </row>
    <row r="23" spans="2:19" x14ac:dyDescent="0.35">
      <c r="C23" s="25" t="s">
        <v>22</v>
      </c>
      <c r="D23" s="26"/>
      <c r="E23" s="26"/>
      <c r="F23" s="26"/>
      <c r="G23" s="26"/>
      <c r="H23" s="26"/>
      <c r="I23" s="27"/>
    </row>
    <row r="24" spans="2:19" x14ac:dyDescent="0.35">
      <c r="C24" s="28" t="s">
        <v>23</v>
      </c>
      <c r="D24" s="29"/>
      <c r="E24" s="30"/>
      <c r="F24" s="33" t="s">
        <v>24</v>
      </c>
      <c r="G24" s="34"/>
      <c r="H24" s="34"/>
      <c r="I24" s="35"/>
    </row>
    <row r="25" spans="2:19" x14ac:dyDescent="0.35">
      <c r="C25" s="28" t="s">
        <v>25</v>
      </c>
      <c r="D25" s="29"/>
      <c r="E25" s="30"/>
      <c r="F25" s="33">
        <v>0.6</v>
      </c>
      <c r="G25" s="34"/>
      <c r="H25" s="34"/>
      <c r="I25" s="35"/>
    </row>
    <row r="26" spans="2:19" x14ac:dyDescent="0.35">
      <c r="C26" s="28" t="s">
        <v>26</v>
      </c>
      <c r="D26" s="29"/>
      <c r="E26" s="30"/>
      <c r="F26" s="33">
        <v>0.4</v>
      </c>
      <c r="G26" s="34"/>
      <c r="H26" s="34"/>
      <c r="I26" s="35"/>
    </row>
    <row r="28" spans="2:19" ht="18.5" x14ac:dyDescent="0.45">
      <c r="B28" s="7" t="s">
        <v>27</v>
      </c>
    </row>
    <row r="30" spans="2:19" x14ac:dyDescent="0.35">
      <c r="C30" s="9" t="s">
        <v>28</v>
      </c>
      <c r="D30" s="5" t="s">
        <v>29</v>
      </c>
    </row>
    <row r="31" spans="2:19" x14ac:dyDescent="0.35">
      <c r="C31" s="9" t="s">
        <v>30</v>
      </c>
      <c r="D31" s="8">
        <v>95</v>
      </c>
    </row>
    <row r="32" spans="2:19" x14ac:dyDescent="0.35">
      <c r="C32" s="9" t="s">
        <v>31</v>
      </c>
      <c r="D32" s="8">
        <v>64</v>
      </c>
    </row>
    <row r="34" spans="2:18" ht="18.5" x14ac:dyDescent="0.45">
      <c r="B34" s="7" t="s">
        <v>33</v>
      </c>
      <c r="D34" s="14"/>
    </row>
    <row r="35" spans="2:18" x14ac:dyDescent="0.35">
      <c r="D35" s="14"/>
    </row>
    <row r="36" spans="2:18" x14ac:dyDescent="0.35">
      <c r="C36" s="9" t="s">
        <v>34</v>
      </c>
      <c r="D36" s="15" t="s">
        <v>3</v>
      </c>
      <c r="E36" s="5" t="s">
        <v>1</v>
      </c>
      <c r="F36" s="5" t="s">
        <v>202</v>
      </c>
      <c r="G36" s="5" t="s">
        <v>205</v>
      </c>
      <c r="H36" s="5" t="s">
        <v>206</v>
      </c>
      <c r="I36" s="5" t="s">
        <v>207</v>
      </c>
      <c r="J36" s="5" t="s">
        <v>208</v>
      </c>
      <c r="K36" s="5" t="s">
        <v>209</v>
      </c>
      <c r="L36" s="5" t="s">
        <v>210</v>
      </c>
      <c r="M36" s="5" t="s">
        <v>211</v>
      </c>
      <c r="N36" s="5" t="s">
        <v>212</v>
      </c>
      <c r="O36" s="5" t="s">
        <v>213</v>
      </c>
      <c r="P36" s="5" t="s">
        <v>214</v>
      </c>
      <c r="Q36" s="5" t="s">
        <v>215</v>
      </c>
      <c r="R36" s="5" t="s">
        <v>216</v>
      </c>
    </row>
    <row r="37" spans="2:18" x14ac:dyDescent="0.35">
      <c r="C37" s="9" t="s">
        <v>35</v>
      </c>
      <c r="D37" s="16">
        <v>1</v>
      </c>
      <c r="E37" s="8">
        <v>1723.9169999999999</v>
      </c>
      <c r="F37" s="8">
        <v>1</v>
      </c>
      <c r="G37" s="8">
        <v>1</v>
      </c>
      <c r="H37" s="8">
        <v>0</v>
      </c>
      <c r="I37" s="8">
        <v>0</v>
      </c>
      <c r="J37" s="8">
        <v>0</v>
      </c>
      <c r="K37" s="8">
        <v>0</v>
      </c>
      <c r="L37" s="8">
        <v>0</v>
      </c>
      <c r="M37" s="8">
        <v>0</v>
      </c>
      <c r="N37" s="8">
        <v>0</v>
      </c>
      <c r="O37" s="8">
        <v>0</v>
      </c>
      <c r="P37" s="8">
        <v>0</v>
      </c>
      <c r="Q37" s="8">
        <v>0</v>
      </c>
      <c r="R37" s="8">
        <v>0</v>
      </c>
    </row>
    <row r="38" spans="2:18" x14ac:dyDescent="0.35">
      <c r="C38" s="9" t="s">
        <v>36</v>
      </c>
      <c r="D38" s="16">
        <v>2</v>
      </c>
      <c r="E38" s="8">
        <v>1637.586</v>
      </c>
      <c r="F38" s="8">
        <v>4</v>
      </c>
      <c r="G38" s="8">
        <v>0</v>
      </c>
      <c r="H38" s="8">
        <v>1</v>
      </c>
      <c r="I38" s="8">
        <v>0</v>
      </c>
      <c r="J38" s="8">
        <v>0</v>
      </c>
      <c r="K38" s="8">
        <v>0</v>
      </c>
      <c r="L38" s="8">
        <v>0</v>
      </c>
      <c r="M38" s="8">
        <v>0</v>
      </c>
      <c r="N38" s="8">
        <v>0</v>
      </c>
      <c r="O38" s="8">
        <v>0</v>
      </c>
      <c r="P38" s="8">
        <v>0</v>
      </c>
      <c r="Q38" s="8">
        <v>0</v>
      </c>
      <c r="R38" s="8">
        <v>0</v>
      </c>
    </row>
    <row r="39" spans="2:18" x14ac:dyDescent="0.35">
      <c r="C39" s="9" t="s">
        <v>37</v>
      </c>
      <c r="D39" s="16">
        <v>3</v>
      </c>
      <c r="E39" s="8">
        <v>1986.7149999999999</v>
      </c>
      <c r="F39" s="8">
        <v>9</v>
      </c>
      <c r="G39" s="8">
        <v>0</v>
      </c>
      <c r="H39" s="8">
        <v>0</v>
      </c>
      <c r="I39" s="8">
        <v>1</v>
      </c>
      <c r="J39" s="8">
        <v>0</v>
      </c>
      <c r="K39" s="8">
        <v>0</v>
      </c>
      <c r="L39" s="8">
        <v>0</v>
      </c>
      <c r="M39" s="8">
        <v>0</v>
      </c>
      <c r="N39" s="8">
        <v>0</v>
      </c>
      <c r="O39" s="8">
        <v>0</v>
      </c>
      <c r="P39" s="8">
        <v>0</v>
      </c>
      <c r="Q39" s="8">
        <v>0</v>
      </c>
      <c r="R39" s="8">
        <v>0</v>
      </c>
    </row>
    <row r="40" spans="2:18" x14ac:dyDescent="0.35">
      <c r="C40" s="9" t="s">
        <v>38</v>
      </c>
      <c r="D40" s="16">
        <v>4</v>
      </c>
      <c r="E40" s="8">
        <v>1824.665</v>
      </c>
      <c r="F40" s="8">
        <v>16</v>
      </c>
      <c r="G40" s="8">
        <v>0</v>
      </c>
      <c r="H40" s="8">
        <v>0</v>
      </c>
      <c r="I40" s="8">
        <v>0</v>
      </c>
      <c r="J40" s="8">
        <v>1</v>
      </c>
      <c r="K40" s="8">
        <v>0</v>
      </c>
      <c r="L40" s="8">
        <v>0</v>
      </c>
      <c r="M40" s="8">
        <v>0</v>
      </c>
      <c r="N40" s="8">
        <v>0</v>
      </c>
      <c r="O40" s="8">
        <v>0</v>
      </c>
      <c r="P40" s="8">
        <v>0</v>
      </c>
      <c r="Q40" s="8">
        <v>0</v>
      </c>
      <c r="R40" s="8">
        <v>0</v>
      </c>
    </row>
    <row r="41" spans="2:18" x14ac:dyDescent="0.35">
      <c r="C41" s="9" t="s">
        <v>39</v>
      </c>
      <c r="D41" s="16">
        <v>5</v>
      </c>
      <c r="E41" s="8">
        <v>1991.9639999999999</v>
      </c>
      <c r="F41" s="8">
        <v>25</v>
      </c>
      <c r="G41" s="8">
        <v>0</v>
      </c>
      <c r="H41" s="8">
        <v>0</v>
      </c>
      <c r="I41" s="8">
        <v>0</v>
      </c>
      <c r="J41" s="8">
        <v>0</v>
      </c>
      <c r="K41" s="8">
        <v>1</v>
      </c>
      <c r="L41" s="8">
        <v>0</v>
      </c>
      <c r="M41" s="8">
        <v>0</v>
      </c>
      <c r="N41" s="8">
        <v>0</v>
      </c>
      <c r="O41" s="8">
        <v>0</v>
      </c>
      <c r="P41" s="8">
        <v>0</v>
      </c>
      <c r="Q41" s="8">
        <v>0</v>
      </c>
      <c r="R41" s="8">
        <v>0</v>
      </c>
    </row>
    <row r="42" spans="2:18" x14ac:dyDescent="0.35">
      <c r="C42" s="9" t="s">
        <v>40</v>
      </c>
      <c r="D42" s="16">
        <v>6</v>
      </c>
      <c r="E42" s="8">
        <v>1879.356</v>
      </c>
      <c r="F42" s="8">
        <v>36</v>
      </c>
      <c r="G42" s="8">
        <v>0</v>
      </c>
      <c r="H42" s="8">
        <v>0</v>
      </c>
      <c r="I42" s="8">
        <v>0</v>
      </c>
      <c r="J42" s="8">
        <v>0</v>
      </c>
      <c r="K42" s="8">
        <v>0</v>
      </c>
      <c r="L42" s="8">
        <v>1</v>
      </c>
      <c r="M42" s="8">
        <v>0</v>
      </c>
      <c r="N42" s="8">
        <v>0</v>
      </c>
      <c r="O42" s="8">
        <v>0</v>
      </c>
      <c r="P42" s="8">
        <v>0</v>
      </c>
      <c r="Q42" s="8">
        <v>0</v>
      </c>
      <c r="R42" s="8">
        <v>0</v>
      </c>
    </row>
    <row r="43" spans="2:18" x14ac:dyDescent="0.35">
      <c r="C43" s="9" t="s">
        <v>41</v>
      </c>
      <c r="D43" s="16">
        <v>7</v>
      </c>
      <c r="E43" s="8">
        <v>1956.86</v>
      </c>
      <c r="F43" s="8">
        <v>49</v>
      </c>
      <c r="G43" s="8">
        <v>0</v>
      </c>
      <c r="H43" s="8">
        <v>0</v>
      </c>
      <c r="I43" s="8">
        <v>0</v>
      </c>
      <c r="J43" s="8">
        <v>0</v>
      </c>
      <c r="K43" s="8">
        <v>0</v>
      </c>
      <c r="L43" s="8">
        <v>0</v>
      </c>
      <c r="M43" s="8">
        <v>1</v>
      </c>
      <c r="N43" s="8">
        <v>0</v>
      </c>
      <c r="O43" s="8">
        <v>0</v>
      </c>
      <c r="P43" s="8">
        <v>0</v>
      </c>
      <c r="Q43" s="8">
        <v>0</v>
      </c>
      <c r="R43" s="8">
        <v>0</v>
      </c>
    </row>
    <row r="44" spans="2:18" x14ac:dyDescent="0.35">
      <c r="C44" s="9" t="s">
        <v>42</v>
      </c>
      <c r="D44" s="16">
        <v>8</v>
      </c>
      <c r="E44" s="8">
        <v>2027.2639999999999</v>
      </c>
      <c r="F44" s="8">
        <v>64</v>
      </c>
      <c r="G44" s="8">
        <v>0</v>
      </c>
      <c r="H44" s="8">
        <v>0</v>
      </c>
      <c r="I44" s="8">
        <v>0</v>
      </c>
      <c r="J44" s="8">
        <v>0</v>
      </c>
      <c r="K44" s="8">
        <v>0</v>
      </c>
      <c r="L44" s="8">
        <v>0</v>
      </c>
      <c r="M44" s="8">
        <v>0</v>
      </c>
      <c r="N44" s="8">
        <v>1</v>
      </c>
      <c r="O44" s="8">
        <v>0</v>
      </c>
      <c r="P44" s="8">
        <v>0</v>
      </c>
      <c r="Q44" s="8">
        <v>0</v>
      </c>
      <c r="R44" s="8">
        <v>0</v>
      </c>
    </row>
    <row r="45" spans="2:18" x14ac:dyDescent="0.35">
      <c r="C45" s="9" t="s">
        <v>43</v>
      </c>
      <c r="D45" s="16">
        <v>9</v>
      </c>
      <c r="E45" s="8">
        <v>1608.6569999999999</v>
      </c>
      <c r="F45" s="8">
        <v>81</v>
      </c>
      <c r="G45" s="8">
        <v>0</v>
      </c>
      <c r="H45" s="8">
        <v>0</v>
      </c>
      <c r="I45" s="8">
        <v>0</v>
      </c>
      <c r="J45" s="8">
        <v>0</v>
      </c>
      <c r="K45" s="8">
        <v>0</v>
      </c>
      <c r="L45" s="8">
        <v>0</v>
      </c>
      <c r="M45" s="8">
        <v>0</v>
      </c>
      <c r="N45" s="8">
        <v>0</v>
      </c>
      <c r="O45" s="8">
        <v>1</v>
      </c>
      <c r="P45" s="8">
        <v>0</v>
      </c>
      <c r="Q45" s="8">
        <v>0</v>
      </c>
      <c r="R45" s="8">
        <v>0</v>
      </c>
    </row>
    <row r="46" spans="2:18" x14ac:dyDescent="0.35">
      <c r="C46" s="9" t="s">
        <v>44</v>
      </c>
      <c r="D46" s="16">
        <v>10</v>
      </c>
      <c r="E46" s="8">
        <v>1739.924</v>
      </c>
      <c r="F46" s="8">
        <v>100</v>
      </c>
      <c r="G46" s="8">
        <v>0</v>
      </c>
      <c r="H46" s="8">
        <v>0</v>
      </c>
      <c r="I46" s="8">
        <v>0</v>
      </c>
      <c r="J46" s="8">
        <v>0</v>
      </c>
      <c r="K46" s="8">
        <v>0</v>
      </c>
      <c r="L46" s="8">
        <v>0</v>
      </c>
      <c r="M46" s="8">
        <v>0</v>
      </c>
      <c r="N46" s="8">
        <v>0</v>
      </c>
      <c r="O46" s="8">
        <v>0</v>
      </c>
      <c r="P46" s="8">
        <v>1</v>
      </c>
      <c r="Q46" s="8">
        <v>0</v>
      </c>
      <c r="R46" s="8">
        <v>0</v>
      </c>
    </row>
    <row r="47" spans="2:18" x14ac:dyDescent="0.35">
      <c r="C47" s="9" t="s">
        <v>45</v>
      </c>
      <c r="D47" s="16">
        <v>11</v>
      </c>
      <c r="E47" s="8">
        <v>1688.6669999999999</v>
      </c>
      <c r="F47" s="8">
        <v>121</v>
      </c>
      <c r="G47" s="8">
        <v>0</v>
      </c>
      <c r="H47" s="8">
        <v>0</v>
      </c>
      <c r="I47" s="8">
        <v>0</v>
      </c>
      <c r="J47" s="8">
        <v>0</v>
      </c>
      <c r="K47" s="8">
        <v>0</v>
      </c>
      <c r="L47" s="8">
        <v>0</v>
      </c>
      <c r="M47" s="8">
        <v>0</v>
      </c>
      <c r="N47" s="8">
        <v>0</v>
      </c>
      <c r="O47" s="8">
        <v>0</v>
      </c>
      <c r="P47" s="8">
        <v>0</v>
      </c>
      <c r="Q47" s="8">
        <v>1</v>
      </c>
      <c r="R47" s="8">
        <v>0</v>
      </c>
    </row>
    <row r="48" spans="2:18" x14ac:dyDescent="0.35">
      <c r="C48" s="9" t="s">
        <v>46</v>
      </c>
      <c r="D48" s="16">
        <v>12</v>
      </c>
      <c r="E48" s="8">
        <v>1830.8630000000001</v>
      </c>
      <c r="F48" s="8">
        <v>144</v>
      </c>
      <c r="G48" s="8">
        <v>0</v>
      </c>
      <c r="H48" s="8">
        <v>0</v>
      </c>
      <c r="I48" s="8">
        <v>0</v>
      </c>
      <c r="J48" s="8">
        <v>0</v>
      </c>
      <c r="K48" s="8">
        <v>0</v>
      </c>
      <c r="L48" s="8">
        <v>0</v>
      </c>
      <c r="M48" s="8">
        <v>0</v>
      </c>
      <c r="N48" s="8">
        <v>0</v>
      </c>
      <c r="O48" s="8">
        <v>0</v>
      </c>
      <c r="P48" s="8">
        <v>0</v>
      </c>
      <c r="Q48" s="8">
        <v>0</v>
      </c>
      <c r="R48" s="8">
        <v>1</v>
      </c>
    </row>
    <row r="49" spans="3:18" x14ac:dyDescent="0.35">
      <c r="C49" s="9" t="s">
        <v>47</v>
      </c>
      <c r="D49" s="16">
        <v>13</v>
      </c>
      <c r="E49" s="8">
        <v>1628.827</v>
      </c>
      <c r="F49" s="8">
        <v>169</v>
      </c>
      <c r="G49" s="8">
        <v>1</v>
      </c>
      <c r="H49" s="8">
        <v>0</v>
      </c>
      <c r="I49" s="8">
        <v>0</v>
      </c>
      <c r="J49" s="8">
        <v>0</v>
      </c>
      <c r="K49" s="8">
        <v>0</v>
      </c>
      <c r="L49" s="8">
        <v>0</v>
      </c>
      <c r="M49" s="8">
        <v>0</v>
      </c>
      <c r="N49" s="8">
        <v>0</v>
      </c>
      <c r="O49" s="8">
        <v>0</v>
      </c>
      <c r="P49" s="8">
        <v>0</v>
      </c>
      <c r="Q49" s="8">
        <v>0</v>
      </c>
      <c r="R49" s="8">
        <v>0</v>
      </c>
    </row>
    <row r="50" spans="3:18" x14ac:dyDescent="0.35">
      <c r="C50" s="9" t="s">
        <v>48</v>
      </c>
      <c r="D50" s="16">
        <v>14</v>
      </c>
      <c r="E50" s="8">
        <v>1574.088</v>
      </c>
      <c r="F50" s="8">
        <v>196</v>
      </c>
      <c r="G50" s="8">
        <v>0</v>
      </c>
      <c r="H50" s="8">
        <v>1</v>
      </c>
      <c r="I50" s="8">
        <v>0</v>
      </c>
      <c r="J50" s="8">
        <v>0</v>
      </c>
      <c r="K50" s="8">
        <v>0</v>
      </c>
      <c r="L50" s="8">
        <v>0</v>
      </c>
      <c r="M50" s="8">
        <v>0</v>
      </c>
      <c r="N50" s="8">
        <v>0</v>
      </c>
      <c r="O50" s="8">
        <v>0</v>
      </c>
      <c r="P50" s="8">
        <v>0</v>
      </c>
      <c r="Q50" s="8">
        <v>0</v>
      </c>
      <c r="R50" s="8">
        <v>0</v>
      </c>
    </row>
    <row r="51" spans="3:18" x14ac:dyDescent="0.35">
      <c r="C51" s="9" t="s">
        <v>49</v>
      </c>
      <c r="D51" s="16">
        <v>15</v>
      </c>
      <c r="E51" s="8">
        <v>1908.223</v>
      </c>
      <c r="F51" s="8">
        <v>225</v>
      </c>
      <c r="G51" s="8">
        <v>0</v>
      </c>
      <c r="H51" s="8">
        <v>0</v>
      </c>
      <c r="I51" s="8">
        <v>1</v>
      </c>
      <c r="J51" s="8">
        <v>0</v>
      </c>
      <c r="K51" s="8">
        <v>0</v>
      </c>
      <c r="L51" s="8">
        <v>0</v>
      </c>
      <c r="M51" s="8">
        <v>0</v>
      </c>
      <c r="N51" s="8">
        <v>0</v>
      </c>
      <c r="O51" s="8">
        <v>0</v>
      </c>
      <c r="P51" s="8">
        <v>0</v>
      </c>
      <c r="Q51" s="8">
        <v>0</v>
      </c>
      <c r="R51" s="8">
        <v>0</v>
      </c>
    </row>
    <row r="52" spans="3:18" x14ac:dyDescent="0.35">
      <c r="C52" s="9" t="s">
        <v>50</v>
      </c>
      <c r="D52" s="16">
        <v>16</v>
      </c>
      <c r="E52" s="8">
        <v>1972.981</v>
      </c>
      <c r="F52" s="8">
        <v>256</v>
      </c>
      <c r="G52" s="8">
        <v>0</v>
      </c>
      <c r="H52" s="8">
        <v>0</v>
      </c>
      <c r="I52" s="8">
        <v>0</v>
      </c>
      <c r="J52" s="8">
        <v>1</v>
      </c>
      <c r="K52" s="8">
        <v>0</v>
      </c>
      <c r="L52" s="8">
        <v>0</v>
      </c>
      <c r="M52" s="8">
        <v>0</v>
      </c>
      <c r="N52" s="8">
        <v>0</v>
      </c>
      <c r="O52" s="8">
        <v>0</v>
      </c>
      <c r="P52" s="8">
        <v>0</v>
      </c>
      <c r="Q52" s="8">
        <v>0</v>
      </c>
      <c r="R52" s="8">
        <v>0</v>
      </c>
    </row>
    <row r="53" spans="3:18" x14ac:dyDescent="0.35">
      <c r="C53" s="9" t="s">
        <v>51</v>
      </c>
      <c r="D53" s="16">
        <v>17</v>
      </c>
      <c r="E53" s="8">
        <v>1898.7139999999999</v>
      </c>
      <c r="F53" s="8">
        <v>289</v>
      </c>
      <c r="G53" s="8">
        <v>0</v>
      </c>
      <c r="H53" s="8">
        <v>0</v>
      </c>
      <c r="I53" s="8">
        <v>0</v>
      </c>
      <c r="J53" s="8">
        <v>0</v>
      </c>
      <c r="K53" s="8">
        <v>1</v>
      </c>
      <c r="L53" s="8">
        <v>0</v>
      </c>
      <c r="M53" s="8">
        <v>0</v>
      </c>
      <c r="N53" s="8">
        <v>0</v>
      </c>
      <c r="O53" s="8">
        <v>0</v>
      </c>
      <c r="P53" s="8">
        <v>0</v>
      </c>
      <c r="Q53" s="8">
        <v>0</v>
      </c>
      <c r="R53" s="8">
        <v>0</v>
      </c>
    </row>
    <row r="54" spans="3:18" x14ac:dyDescent="0.35">
      <c r="C54" s="9" t="s">
        <v>52</v>
      </c>
      <c r="D54" s="16">
        <v>18</v>
      </c>
      <c r="E54" s="8">
        <v>1637.0419999999999</v>
      </c>
      <c r="F54" s="8">
        <v>324</v>
      </c>
      <c r="G54" s="8">
        <v>0</v>
      </c>
      <c r="H54" s="8">
        <v>0</v>
      </c>
      <c r="I54" s="8">
        <v>0</v>
      </c>
      <c r="J54" s="8">
        <v>0</v>
      </c>
      <c r="K54" s="8">
        <v>0</v>
      </c>
      <c r="L54" s="8">
        <v>1</v>
      </c>
      <c r="M54" s="8">
        <v>0</v>
      </c>
      <c r="N54" s="8">
        <v>0</v>
      </c>
      <c r="O54" s="8">
        <v>0</v>
      </c>
      <c r="P54" s="8">
        <v>0</v>
      </c>
      <c r="Q54" s="8">
        <v>0</v>
      </c>
      <c r="R54" s="8">
        <v>0</v>
      </c>
    </row>
    <row r="55" spans="3:18" x14ac:dyDescent="0.35">
      <c r="C55" s="9" t="s">
        <v>53</v>
      </c>
      <c r="D55" s="16">
        <v>19</v>
      </c>
      <c r="E55" s="8">
        <v>1919.309</v>
      </c>
      <c r="F55" s="8">
        <v>361</v>
      </c>
      <c r="G55" s="8">
        <v>0</v>
      </c>
      <c r="H55" s="8">
        <v>0</v>
      </c>
      <c r="I55" s="8">
        <v>0</v>
      </c>
      <c r="J55" s="8">
        <v>0</v>
      </c>
      <c r="K55" s="8">
        <v>0</v>
      </c>
      <c r="L55" s="8">
        <v>0</v>
      </c>
      <c r="M55" s="8">
        <v>1</v>
      </c>
      <c r="N55" s="8">
        <v>0</v>
      </c>
      <c r="O55" s="8">
        <v>0</v>
      </c>
      <c r="P55" s="8">
        <v>0</v>
      </c>
      <c r="Q55" s="8">
        <v>0</v>
      </c>
      <c r="R55" s="8">
        <v>0</v>
      </c>
    </row>
    <row r="56" spans="3:18" x14ac:dyDescent="0.35">
      <c r="C56" s="9" t="s">
        <v>54</v>
      </c>
      <c r="D56" s="16">
        <v>20</v>
      </c>
      <c r="E56" s="8">
        <v>2010.712</v>
      </c>
      <c r="F56" s="8">
        <v>400</v>
      </c>
      <c r="G56" s="8">
        <v>0</v>
      </c>
      <c r="H56" s="8">
        <v>0</v>
      </c>
      <c r="I56" s="8">
        <v>0</v>
      </c>
      <c r="J56" s="8">
        <v>0</v>
      </c>
      <c r="K56" s="8">
        <v>0</v>
      </c>
      <c r="L56" s="8">
        <v>0</v>
      </c>
      <c r="M56" s="8">
        <v>0</v>
      </c>
      <c r="N56" s="8">
        <v>1</v>
      </c>
      <c r="O56" s="8">
        <v>0</v>
      </c>
      <c r="P56" s="8">
        <v>0</v>
      </c>
      <c r="Q56" s="8">
        <v>0</v>
      </c>
      <c r="R56" s="8">
        <v>0</v>
      </c>
    </row>
    <row r="57" spans="3:18" x14ac:dyDescent="0.35">
      <c r="C57" s="9" t="s">
        <v>55</v>
      </c>
      <c r="D57" s="16">
        <v>21</v>
      </c>
      <c r="E57" s="8">
        <v>1719.8969999999999</v>
      </c>
      <c r="F57" s="8">
        <v>441</v>
      </c>
      <c r="G57" s="8">
        <v>0</v>
      </c>
      <c r="H57" s="8">
        <v>0</v>
      </c>
      <c r="I57" s="8">
        <v>0</v>
      </c>
      <c r="J57" s="8">
        <v>0</v>
      </c>
      <c r="K57" s="8">
        <v>0</v>
      </c>
      <c r="L57" s="8">
        <v>0</v>
      </c>
      <c r="M57" s="8">
        <v>0</v>
      </c>
      <c r="N57" s="8">
        <v>0</v>
      </c>
      <c r="O57" s="8">
        <v>1</v>
      </c>
      <c r="P57" s="8">
        <v>0</v>
      </c>
      <c r="Q57" s="8">
        <v>0</v>
      </c>
      <c r="R57" s="8">
        <v>0</v>
      </c>
    </row>
    <row r="58" spans="3:18" x14ac:dyDescent="0.35">
      <c r="C58" s="9" t="s">
        <v>56</v>
      </c>
      <c r="D58" s="16">
        <v>22</v>
      </c>
      <c r="E58" s="8">
        <v>1824</v>
      </c>
      <c r="F58" s="8">
        <v>484</v>
      </c>
      <c r="G58" s="8">
        <v>0</v>
      </c>
      <c r="H58" s="8">
        <v>0</v>
      </c>
      <c r="I58" s="8">
        <v>0</v>
      </c>
      <c r="J58" s="8">
        <v>0</v>
      </c>
      <c r="K58" s="8">
        <v>0</v>
      </c>
      <c r="L58" s="8">
        <v>0</v>
      </c>
      <c r="M58" s="8">
        <v>0</v>
      </c>
      <c r="N58" s="8">
        <v>0</v>
      </c>
      <c r="O58" s="8">
        <v>0</v>
      </c>
      <c r="P58" s="8">
        <v>1</v>
      </c>
      <c r="Q58" s="8">
        <v>0</v>
      </c>
      <c r="R58" s="8">
        <v>0</v>
      </c>
    </row>
    <row r="59" spans="3:18" x14ac:dyDescent="0.35">
      <c r="C59" s="9" t="s">
        <v>57</v>
      </c>
      <c r="D59" s="16">
        <v>23</v>
      </c>
      <c r="E59" s="8">
        <v>1874.6010000000001</v>
      </c>
      <c r="F59" s="8">
        <v>529</v>
      </c>
      <c r="G59" s="8">
        <v>0</v>
      </c>
      <c r="H59" s="8">
        <v>0</v>
      </c>
      <c r="I59" s="8">
        <v>0</v>
      </c>
      <c r="J59" s="8">
        <v>0</v>
      </c>
      <c r="K59" s="8">
        <v>0</v>
      </c>
      <c r="L59" s="8">
        <v>0</v>
      </c>
      <c r="M59" s="8">
        <v>0</v>
      </c>
      <c r="N59" s="8">
        <v>0</v>
      </c>
      <c r="O59" s="8">
        <v>0</v>
      </c>
      <c r="P59" s="8">
        <v>0</v>
      </c>
      <c r="Q59" s="8">
        <v>1</v>
      </c>
      <c r="R59" s="8">
        <v>0</v>
      </c>
    </row>
    <row r="60" spans="3:18" x14ac:dyDescent="0.35">
      <c r="C60" s="9" t="s">
        <v>58</v>
      </c>
      <c r="D60" s="16">
        <v>24</v>
      </c>
      <c r="E60" s="8">
        <v>1890.1220000000001</v>
      </c>
      <c r="F60" s="8">
        <v>576</v>
      </c>
      <c r="G60" s="8">
        <v>0</v>
      </c>
      <c r="H60" s="8">
        <v>0</v>
      </c>
      <c r="I60" s="8">
        <v>0</v>
      </c>
      <c r="J60" s="8">
        <v>0</v>
      </c>
      <c r="K60" s="8">
        <v>0</v>
      </c>
      <c r="L60" s="8">
        <v>0</v>
      </c>
      <c r="M60" s="8">
        <v>0</v>
      </c>
      <c r="N60" s="8">
        <v>0</v>
      </c>
      <c r="O60" s="8">
        <v>0</v>
      </c>
      <c r="P60" s="8">
        <v>0</v>
      </c>
      <c r="Q60" s="8">
        <v>0</v>
      </c>
      <c r="R60" s="8">
        <v>1</v>
      </c>
    </row>
    <row r="61" spans="3:18" x14ac:dyDescent="0.35">
      <c r="C61" s="9" t="s">
        <v>59</v>
      </c>
      <c r="D61" s="16">
        <v>25</v>
      </c>
      <c r="E61" s="8">
        <v>1720.259</v>
      </c>
      <c r="F61" s="8">
        <v>625</v>
      </c>
      <c r="G61" s="8">
        <v>1</v>
      </c>
      <c r="H61" s="8">
        <v>0</v>
      </c>
      <c r="I61" s="8">
        <v>0</v>
      </c>
      <c r="J61" s="8">
        <v>0</v>
      </c>
      <c r="K61" s="8">
        <v>0</v>
      </c>
      <c r="L61" s="8">
        <v>0</v>
      </c>
      <c r="M61" s="8">
        <v>0</v>
      </c>
      <c r="N61" s="8">
        <v>0</v>
      </c>
      <c r="O61" s="8">
        <v>0</v>
      </c>
      <c r="P61" s="8">
        <v>0</v>
      </c>
      <c r="Q61" s="8">
        <v>0</v>
      </c>
      <c r="R61" s="8">
        <v>0</v>
      </c>
    </row>
    <row r="62" spans="3:18" x14ac:dyDescent="0.35">
      <c r="C62" s="9" t="s">
        <v>60</v>
      </c>
      <c r="D62" s="16">
        <v>26</v>
      </c>
      <c r="E62" s="8">
        <v>1631.5350000000001</v>
      </c>
      <c r="F62" s="8">
        <v>676</v>
      </c>
      <c r="G62" s="8">
        <v>0</v>
      </c>
      <c r="H62" s="8">
        <v>1</v>
      </c>
      <c r="I62" s="8">
        <v>0</v>
      </c>
      <c r="J62" s="8">
        <v>0</v>
      </c>
      <c r="K62" s="8">
        <v>0</v>
      </c>
      <c r="L62" s="8">
        <v>0</v>
      </c>
      <c r="M62" s="8">
        <v>0</v>
      </c>
      <c r="N62" s="8">
        <v>0</v>
      </c>
      <c r="O62" s="8">
        <v>0</v>
      </c>
      <c r="P62" s="8">
        <v>0</v>
      </c>
      <c r="Q62" s="8">
        <v>0</v>
      </c>
      <c r="R62" s="8">
        <v>0</v>
      </c>
    </row>
    <row r="63" spans="3:18" x14ac:dyDescent="0.35">
      <c r="C63" s="9" t="s">
        <v>61</v>
      </c>
      <c r="D63" s="16">
        <v>27</v>
      </c>
      <c r="E63" s="8">
        <v>1850.7090000000001</v>
      </c>
      <c r="F63" s="8">
        <v>729</v>
      </c>
      <c r="G63" s="8">
        <v>0</v>
      </c>
      <c r="H63" s="8">
        <v>0</v>
      </c>
      <c r="I63" s="8">
        <v>1</v>
      </c>
      <c r="J63" s="8">
        <v>0</v>
      </c>
      <c r="K63" s="8">
        <v>0</v>
      </c>
      <c r="L63" s="8">
        <v>0</v>
      </c>
      <c r="M63" s="8">
        <v>0</v>
      </c>
      <c r="N63" s="8">
        <v>0</v>
      </c>
      <c r="O63" s="8">
        <v>0</v>
      </c>
      <c r="P63" s="8">
        <v>0</v>
      </c>
      <c r="Q63" s="8">
        <v>0</v>
      </c>
      <c r="R63" s="8">
        <v>0</v>
      </c>
    </row>
    <row r="64" spans="3:18" x14ac:dyDescent="0.35">
      <c r="C64" s="9" t="s">
        <v>62</v>
      </c>
      <c r="D64" s="16">
        <v>28</v>
      </c>
      <c r="E64" s="8">
        <v>1974.0429999999999</v>
      </c>
      <c r="F64" s="8">
        <v>784</v>
      </c>
      <c r="G64" s="8">
        <v>0</v>
      </c>
      <c r="H64" s="8">
        <v>0</v>
      </c>
      <c r="I64" s="8">
        <v>0</v>
      </c>
      <c r="J64" s="8">
        <v>1</v>
      </c>
      <c r="K64" s="8">
        <v>0</v>
      </c>
      <c r="L64" s="8">
        <v>0</v>
      </c>
      <c r="M64" s="8">
        <v>0</v>
      </c>
      <c r="N64" s="8">
        <v>0</v>
      </c>
      <c r="O64" s="8">
        <v>0</v>
      </c>
      <c r="P64" s="8">
        <v>0</v>
      </c>
      <c r="Q64" s="8">
        <v>0</v>
      </c>
      <c r="R64" s="8">
        <v>0</v>
      </c>
    </row>
    <row r="65" spans="3:18" x14ac:dyDescent="0.35">
      <c r="C65" s="9" t="s">
        <v>63</v>
      </c>
      <c r="D65" s="16">
        <v>29</v>
      </c>
      <c r="E65" s="8">
        <v>1932.1849999999999</v>
      </c>
      <c r="F65" s="8">
        <v>841</v>
      </c>
      <c r="G65" s="8">
        <v>0</v>
      </c>
      <c r="H65" s="8">
        <v>0</v>
      </c>
      <c r="I65" s="8">
        <v>0</v>
      </c>
      <c r="J65" s="8">
        <v>0</v>
      </c>
      <c r="K65" s="8">
        <v>1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</row>
    <row r="66" spans="3:18" x14ac:dyDescent="0.35">
      <c r="C66" s="9" t="s">
        <v>64</v>
      </c>
      <c r="D66" s="16">
        <v>30</v>
      </c>
      <c r="E66" s="8">
        <v>1895.3979999999999</v>
      </c>
      <c r="F66" s="8">
        <v>900</v>
      </c>
      <c r="G66" s="8">
        <v>0</v>
      </c>
      <c r="H66" s="8">
        <v>0</v>
      </c>
      <c r="I66" s="8">
        <v>0</v>
      </c>
      <c r="J66" s="8">
        <v>0</v>
      </c>
      <c r="K66" s="8">
        <v>0</v>
      </c>
      <c r="L66" s="8">
        <v>1</v>
      </c>
      <c r="M66" s="8">
        <v>0</v>
      </c>
      <c r="N66" s="8">
        <v>0</v>
      </c>
      <c r="O66" s="8">
        <v>0</v>
      </c>
      <c r="P66" s="8">
        <v>0</v>
      </c>
      <c r="Q66" s="8">
        <v>0</v>
      </c>
      <c r="R66" s="8">
        <v>0</v>
      </c>
    </row>
    <row r="67" spans="3:18" x14ac:dyDescent="0.35">
      <c r="C67" s="9" t="s">
        <v>65</v>
      </c>
      <c r="D67" s="16">
        <v>31</v>
      </c>
      <c r="E67" s="8">
        <v>1949.009</v>
      </c>
      <c r="F67" s="8">
        <v>961</v>
      </c>
      <c r="G67" s="8">
        <v>0</v>
      </c>
      <c r="H67" s="8">
        <v>0</v>
      </c>
      <c r="I67" s="8">
        <v>0</v>
      </c>
      <c r="J67" s="8">
        <v>0</v>
      </c>
      <c r="K67" s="8">
        <v>0</v>
      </c>
      <c r="L67" s="8">
        <v>0</v>
      </c>
      <c r="M67" s="8">
        <v>1</v>
      </c>
      <c r="N67" s="8">
        <v>0</v>
      </c>
      <c r="O67" s="8">
        <v>0</v>
      </c>
      <c r="P67" s="8">
        <v>0</v>
      </c>
      <c r="Q67" s="8">
        <v>0</v>
      </c>
      <c r="R67" s="8">
        <v>0</v>
      </c>
    </row>
    <row r="68" spans="3:18" x14ac:dyDescent="0.35">
      <c r="C68" s="9" t="s">
        <v>66</v>
      </c>
      <c r="D68" s="16">
        <v>32</v>
      </c>
      <c r="E68" s="8">
        <v>2012.1669999999999</v>
      </c>
      <c r="F68" s="8">
        <v>1024</v>
      </c>
      <c r="G68" s="8">
        <v>0</v>
      </c>
      <c r="H68" s="8">
        <v>0</v>
      </c>
      <c r="I68" s="8">
        <v>0</v>
      </c>
      <c r="J68" s="8">
        <v>0</v>
      </c>
      <c r="K68" s="8">
        <v>0</v>
      </c>
      <c r="L68" s="8">
        <v>0</v>
      </c>
      <c r="M68" s="8">
        <v>0</v>
      </c>
      <c r="N68" s="8">
        <v>1</v>
      </c>
      <c r="O68" s="8">
        <v>0</v>
      </c>
      <c r="P68" s="8">
        <v>0</v>
      </c>
      <c r="Q68" s="8">
        <v>0</v>
      </c>
      <c r="R68" s="8">
        <v>0</v>
      </c>
    </row>
    <row r="69" spans="3:18" x14ac:dyDescent="0.35">
      <c r="C69" s="9" t="s">
        <v>67</v>
      </c>
      <c r="D69" s="16">
        <v>33</v>
      </c>
      <c r="E69" s="8">
        <v>1689.8409999999999</v>
      </c>
      <c r="F69" s="8">
        <v>1089</v>
      </c>
      <c r="G69" s="8">
        <v>0</v>
      </c>
      <c r="H69" s="8">
        <v>0</v>
      </c>
      <c r="I69" s="8">
        <v>0</v>
      </c>
      <c r="J69" s="8">
        <v>0</v>
      </c>
      <c r="K69" s="8">
        <v>0</v>
      </c>
      <c r="L69" s="8">
        <v>0</v>
      </c>
      <c r="M69" s="8">
        <v>0</v>
      </c>
      <c r="N69" s="8">
        <v>0</v>
      </c>
      <c r="O69" s="8">
        <v>1</v>
      </c>
      <c r="P69" s="8">
        <v>0</v>
      </c>
      <c r="Q69" s="8">
        <v>0</v>
      </c>
      <c r="R69" s="8">
        <v>0</v>
      </c>
    </row>
    <row r="70" spans="3:18" x14ac:dyDescent="0.35">
      <c r="C70" s="9" t="s">
        <v>68</v>
      </c>
      <c r="D70" s="16">
        <v>34</v>
      </c>
      <c r="E70" s="8">
        <v>1769.827</v>
      </c>
      <c r="F70" s="8">
        <v>1156</v>
      </c>
      <c r="G70" s="8">
        <v>0</v>
      </c>
      <c r="H70" s="8">
        <v>0</v>
      </c>
      <c r="I70" s="8">
        <v>0</v>
      </c>
      <c r="J70" s="8">
        <v>0</v>
      </c>
      <c r="K70" s="8">
        <v>0</v>
      </c>
      <c r="L70" s="8">
        <v>0</v>
      </c>
      <c r="M70" s="8">
        <v>0</v>
      </c>
      <c r="N70" s="8">
        <v>0</v>
      </c>
      <c r="O70" s="8">
        <v>0</v>
      </c>
      <c r="P70" s="8">
        <v>1</v>
      </c>
      <c r="Q70" s="8">
        <v>0</v>
      </c>
      <c r="R70" s="8">
        <v>0</v>
      </c>
    </row>
    <row r="71" spans="3:18" x14ac:dyDescent="0.35">
      <c r="C71" s="9" t="s">
        <v>69</v>
      </c>
      <c r="D71" s="16">
        <v>35</v>
      </c>
      <c r="E71" s="8">
        <v>1733.377</v>
      </c>
      <c r="F71" s="8">
        <v>1225</v>
      </c>
      <c r="G71" s="8">
        <v>0</v>
      </c>
      <c r="H71" s="8">
        <v>0</v>
      </c>
      <c r="I71" s="8">
        <v>0</v>
      </c>
      <c r="J71" s="8">
        <v>0</v>
      </c>
      <c r="K71" s="8">
        <v>0</v>
      </c>
      <c r="L71" s="8">
        <v>0</v>
      </c>
      <c r="M71" s="8">
        <v>0</v>
      </c>
      <c r="N71" s="8">
        <v>0</v>
      </c>
      <c r="O71" s="8">
        <v>0</v>
      </c>
      <c r="P71" s="8">
        <v>0</v>
      </c>
      <c r="Q71" s="8">
        <v>1</v>
      </c>
      <c r="R71" s="8">
        <v>0</v>
      </c>
    </row>
    <row r="72" spans="3:18" x14ac:dyDescent="0.35">
      <c r="C72" s="9" t="s">
        <v>70</v>
      </c>
      <c r="D72" s="16">
        <v>36</v>
      </c>
      <c r="E72" s="8">
        <v>1748.2919999999999</v>
      </c>
      <c r="F72" s="8">
        <v>1296</v>
      </c>
      <c r="G72" s="8">
        <v>0</v>
      </c>
      <c r="H72" s="8">
        <v>0</v>
      </c>
      <c r="I72" s="8">
        <v>0</v>
      </c>
      <c r="J72" s="8">
        <v>0</v>
      </c>
      <c r="K72" s="8">
        <v>0</v>
      </c>
      <c r="L72" s="8">
        <v>0</v>
      </c>
      <c r="M72" s="8">
        <v>0</v>
      </c>
      <c r="N72" s="8">
        <v>0</v>
      </c>
      <c r="O72" s="8">
        <v>0</v>
      </c>
      <c r="P72" s="8">
        <v>0</v>
      </c>
      <c r="Q72" s="8">
        <v>0</v>
      </c>
      <c r="R72" s="8">
        <v>1</v>
      </c>
    </row>
    <row r="73" spans="3:18" x14ac:dyDescent="0.35">
      <c r="C73" s="9" t="s">
        <v>71</v>
      </c>
      <c r="D73" s="16">
        <v>37</v>
      </c>
      <c r="E73" s="8">
        <v>1575.365</v>
      </c>
      <c r="F73" s="8">
        <v>1369</v>
      </c>
      <c r="G73" s="8">
        <v>1</v>
      </c>
      <c r="H73" s="8">
        <v>0</v>
      </c>
      <c r="I73" s="8">
        <v>0</v>
      </c>
      <c r="J73" s="8">
        <v>0</v>
      </c>
      <c r="K73" s="8">
        <v>0</v>
      </c>
      <c r="L73" s="8">
        <v>0</v>
      </c>
      <c r="M73" s="8">
        <v>0</v>
      </c>
      <c r="N73" s="8">
        <v>0</v>
      </c>
      <c r="O73" s="8">
        <v>0</v>
      </c>
      <c r="P73" s="8">
        <v>0</v>
      </c>
      <c r="Q73" s="8">
        <v>0</v>
      </c>
      <c r="R73" s="8">
        <v>0</v>
      </c>
    </row>
    <row r="74" spans="3:18" x14ac:dyDescent="0.35">
      <c r="C74" s="9" t="s">
        <v>72</v>
      </c>
      <c r="D74" s="16">
        <v>38</v>
      </c>
      <c r="E74" s="8">
        <v>1589.9590000000001</v>
      </c>
      <c r="F74" s="8">
        <v>1444</v>
      </c>
      <c r="G74" s="8">
        <v>0</v>
      </c>
      <c r="H74" s="8">
        <v>1</v>
      </c>
      <c r="I74" s="8">
        <v>0</v>
      </c>
      <c r="J74" s="8">
        <v>0</v>
      </c>
      <c r="K74" s="8">
        <v>0</v>
      </c>
      <c r="L74" s="8">
        <v>0</v>
      </c>
      <c r="M74" s="8">
        <v>0</v>
      </c>
      <c r="N74" s="8">
        <v>0</v>
      </c>
      <c r="O74" s="8">
        <v>0</v>
      </c>
      <c r="P74" s="8">
        <v>0</v>
      </c>
      <c r="Q74" s="8">
        <v>0</v>
      </c>
      <c r="R74" s="8">
        <v>0</v>
      </c>
    </row>
    <row r="75" spans="3:18" x14ac:dyDescent="0.35">
      <c r="C75" s="9" t="s">
        <v>73</v>
      </c>
      <c r="D75" s="16">
        <v>39</v>
      </c>
      <c r="E75" s="8">
        <v>1919.6389999999999</v>
      </c>
      <c r="F75" s="8">
        <v>1521</v>
      </c>
      <c r="G75" s="8">
        <v>0</v>
      </c>
      <c r="H75" s="8">
        <v>0</v>
      </c>
      <c r="I75" s="8">
        <v>1</v>
      </c>
      <c r="J75" s="8">
        <v>0</v>
      </c>
      <c r="K75" s="8">
        <v>0</v>
      </c>
      <c r="L75" s="8">
        <v>0</v>
      </c>
      <c r="M75" s="8">
        <v>0</v>
      </c>
      <c r="N75" s="8">
        <v>0</v>
      </c>
      <c r="O75" s="8">
        <v>0</v>
      </c>
      <c r="P75" s="8">
        <v>0</v>
      </c>
      <c r="Q75" s="8">
        <v>0</v>
      </c>
      <c r="R75" s="8">
        <v>0</v>
      </c>
    </row>
    <row r="76" spans="3:18" x14ac:dyDescent="0.35">
      <c r="C76" s="9" t="s">
        <v>74</v>
      </c>
      <c r="D76" s="16">
        <v>40</v>
      </c>
      <c r="E76" s="8">
        <v>1849.8879999999999</v>
      </c>
      <c r="F76" s="8">
        <v>1600</v>
      </c>
      <c r="G76" s="8">
        <v>0</v>
      </c>
      <c r="H76" s="8">
        <v>0</v>
      </c>
      <c r="I76" s="8">
        <v>0</v>
      </c>
      <c r="J76" s="8">
        <v>1</v>
      </c>
      <c r="K76" s="8">
        <v>0</v>
      </c>
      <c r="L76" s="8">
        <v>0</v>
      </c>
      <c r="M76" s="8">
        <v>0</v>
      </c>
      <c r="N76" s="8">
        <v>0</v>
      </c>
      <c r="O76" s="8">
        <v>0</v>
      </c>
      <c r="P76" s="8">
        <v>0</v>
      </c>
      <c r="Q76" s="8">
        <v>0</v>
      </c>
      <c r="R76" s="8">
        <v>0</v>
      </c>
    </row>
    <row r="77" spans="3:18" x14ac:dyDescent="0.35">
      <c r="C77" s="9" t="s">
        <v>75</v>
      </c>
      <c r="D77" s="16">
        <v>41</v>
      </c>
      <c r="E77" s="8">
        <v>1845.049</v>
      </c>
      <c r="F77" s="8">
        <v>1681</v>
      </c>
      <c r="G77" s="8">
        <v>0</v>
      </c>
      <c r="H77" s="8">
        <v>0</v>
      </c>
      <c r="I77" s="8">
        <v>0</v>
      </c>
      <c r="J77" s="8">
        <v>0</v>
      </c>
      <c r="K77" s="8">
        <v>1</v>
      </c>
      <c r="L77" s="8">
        <v>0</v>
      </c>
      <c r="M77" s="8">
        <v>0</v>
      </c>
      <c r="N77" s="8">
        <v>0</v>
      </c>
      <c r="O77" s="8">
        <v>0</v>
      </c>
      <c r="P77" s="8">
        <v>0</v>
      </c>
      <c r="Q77" s="8">
        <v>0</v>
      </c>
      <c r="R77" s="8">
        <v>0</v>
      </c>
    </row>
    <row r="78" spans="3:18" x14ac:dyDescent="0.35">
      <c r="C78" s="9" t="s">
        <v>76</v>
      </c>
      <c r="D78" s="16">
        <v>42</v>
      </c>
      <c r="E78" s="8">
        <v>1790.7550000000001</v>
      </c>
      <c r="F78" s="8">
        <v>1764</v>
      </c>
      <c r="G78" s="8">
        <v>0</v>
      </c>
      <c r="H78" s="8">
        <v>0</v>
      </c>
      <c r="I78" s="8">
        <v>0</v>
      </c>
      <c r="J78" s="8">
        <v>0</v>
      </c>
      <c r="K78" s="8">
        <v>0</v>
      </c>
      <c r="L78" s="8">
        <v>1</v>
      </c>
      <c r="M78" s="8">
        <v>0</v>
      </c>
      <c r="N78" s="8">
        <v>0</v>
      </c>
      <c r="O78" s="8">
        <v>0</v>
      </c>
      <c r="P78" s="8">
        <v>0</v>
      </c>
      <c r="Q78" s="8">
        <v>0</v>
      </c>
      <c r="R78" s="8">
        <v>0</v>
      </c>
    </row>
    <row r="79" spans="3:18" x14ac:dyDescent="0.35">
      <c r="C79" s="9" t="s">
        <v>77</v>
      </c>
      <c r="D79" s="16">
        <v>43</v>
      </c>
      <c r="E79" s="8">
        <v>1882.508</v>
      </c>
      <c r="F79" s="8">
        <v>1849</v>
      </c>
      <c r="G79" s="8">
        <v>0</v>
      </c>
      <c r="H79" s="8">
        <v>0</v>
      </c>
      <c r="I79" s="8">
        <v>0</v>
      </c>
      <c r="J79" s="8">
        <v>0</v>
      </c>
      <c r="K79" s="8">
        <v>0</v>
      </c>
      <c r="L79" s="8">
        <v>0</v>
      </c>
      <c r="M79" s="8">
        <v>1</v>
      </c>
      <c r="N79" s="8">
        <v>0</v>
      </c>
      <c r="O79" s="8">
        <v>0</v>
      </c>
      <c r="P79" s="8">
        <v>0</v>
      </c>
      <c r="Q79" s="8">
        <v>0</v>
      </c>
      <c r="R79" s="8">
        <v>0</v>
      </c>
    </row>
    <row r="80" spans="3:18" x14ac:dyDescent="0.35">
      <c r="C80" s="9" t="s">
        <v>78</v>
      </c>
      <c r="D80" s="16">
        <v>44</v>
      </c>
      <c r="E80" s="8">
        <v>1921.6079999999999</v>
      </c>
      <c r="F80" s="8">
        <v>1936</v>
      </c>
      <c r="G80" s="8">
        <v>0</v>
      </c>
      <c r="H80" s="8">
        <v>0</v>
      </c>
      <c r="I80" s="8">
        <v>0</v>
      </c>
      <c r="J80" s="8">
        <v>0</v>
      </c>
      <c r="K80" s="8">
        <v>0</v>
      </c>
      <c r="L80" s="8">
        <v>0</v>
      </c>
      <c r="M80" s="8">
        <v>0</v>
      </c>
      <c r="N80" s="8">
        <v>1</v>
      </c>
      <c r="O80" s="8">
        <v>0</v>
      </c>
      <c r="P80" s="8">
        <v>0</v>
      </c>
      <c r="Q80" s="8">
        <v>0</v>
      </c>
      <c r="R80" s="8">
        <v>0</v>
      </c>
    </row>
    <row r="81" spans="3:18" x14ac:dyDescent="0.35">
      <c r="C81" s="9" t="s">
        <v>79</v>
      </c>
      <c r="D81" s="16">
        <v>45</v>
      </c>
      <c r="E81" s="8">
        <v>1702.6320000000001</v>
      </c>
      <c r="F81" s="8">
        <v>2025</v>
      </c>
      <c r="G81" s="8">
        <v>0</v>
      </c>
      <c r="H81" s="8">
        <v>0</v>
      </c>
      <c r="I81" s="8">
        <v>0</v>
      </c>
      <c r="J81" s="8">
        <v>0</v>
      </c>
      <c r="K81" s="8">
        <v>0</v>
      </c>
      <c r="L81" s="8">
        <v>0</v>
      </c>
      <c r="M81" s="8">
        <v>0</v>
      </c>
      <c r="N81" s="8">
        <v>0</v>
      </c>
      <c r="O81" s="8">
        <v>1</v>
      </c>
      <c r="P81" s="8">
        <v>0</v>
      </c>
      <c r="Q81" s="8">
        <v>0</v>
      </c>
      <c r="R81" s="8">
        <v>0</v>
      </c>
    </row>
    <row r="82" spans="3:18" x14ac:dyDescent="0.35">
      <c r="C82" s="9" t="s">
        <v>80</v>
      </c>
      <c r="D82" s="16">
        <v>46</v>
      </c>
      <c r="E82" s="8">
        <v>1790.546</v>
      </c>
      <c r="F82" s="8">
        <v>2116</v>
      </c>
      <c r="G82" s="8">
        <v>0</v>
      </c>
      <c r="H82" s="8">
        <v>0</v>
      </c>
      <c r="I82" s="8">
        <v>0</v>
      </c>
      <c r="J82" s="8">
        <v>0</v>
      </c>
      <c r="K82" s="8">
        <v>0</v>
      </c>
      <c r="L82" s="8">
        <v>0</v>
      </c>
      <c r="M82" s="8">
        <v>0</v>
      </c>
      <c r="N82" s="8">
        <v>0</v>
      </c>
      <c r="O82" s="8">
        <v>0</v>
      </c>
      <c r="P82" s="8">
        <v>1</v>
      </c>
      <c r="Q82" s="8">
        <v>0</v>
      </c>
      <c r="R82" s="8">
        <v>0</v>
      </c>
    </row>
    <row r="83" spans="3:18" x14ac:dyDescent="0.35">
      <c r="C83" s="9" t="s">
        <v>81</v>
      </c>
      <c r="D83" s="16">
        <v>47</v>
      </c>
      <c r="E83" s="8">
        <v>1790.9949999999999</v>
      </c>
      <c r="F83" s="8">
        <v>2209</v>
      </c>
      <c r="G83" s="8">
        <v>0</v>
      </c>
      <c r="H83" s="8">
        <v>0</v>
      </c>
      <c r="I83" s="8">
        <v>0</v>
      </c>
      <c r="J83" s="8">
        <v>0</v>
      </c>
      <c r="K83" s="8">
        <v>0</v>
      </c>
      <c r="L83" s="8">
        <v>0</v>
      </c>
      <c r="M83" s="8">
        <v>0</v>
      </c>
      <c r="N83" s="8">
        <v>0</v>
      </c>
      <c r="O83" s="8">
        <v>0</v>
      </c>
      <c r="P83" s="8">
        <v>0</v>
      </c>
      <c r="Q83" s="8">
        <v>1</v>
      </c>
      <c r="R83" s="8">
        <v>0</v>
      </c>
    </row>
    <row r="84" spans="3:18" x14ac:dyDescent="0.35">
      <c r="C84" s="9" t="s">
        <v>82</v>
      </c>
      <c r="D84" s="16">
        <v>48</v>
      </c>
      <c r="E84" s="8">
        <v>1797.35</v>
      </c>
      <c r="F84" s="8">
        <v>2304</v>
      </c>
      <c r="G84" s="8">
        <v>0</v>
      </c>
      <c r="H84" s="8">
        <v>0</v>
      </c>
      <c r="I84" s="8">
        <v>0</v>
      </c>
      <c r="J84" s="8">
        <v>0</v>
      </c>
      <c r="K84" s="8">
        <v>0</v>
      </c>
      <c r="L84" s="8">
        <v>0</v>
      </c>
      <c r="M84" s="8">
        <v>0</v>
      </c>
      <c r="N84" s="8">
        <v>0</v>
      </c>
      <c r="O84" s="8">
        <v>0</v>
      </c>
      <c r="P84" s="8">
        <v>0</v>
      </c>
      <c r="Q84" s="8">
        <v>0</v>
      </c>
      <c r="R84" s="8">
        <v>1</v>
      </c>
    </row>
    <row r="85" spans="3:18" x14ac:dyDescent="0.35">
      <c r="C85" s="9" t="s">
        <v>83</v>
      </c>
      <c r="D85" s="16">
        <v>49</v>
      </c>
      <c r="E85" s="8">
        <v>1560.415</v>
      </c>
      <c r="F85" s="8">
        <v>2401</v>
      </c>
      <c r="G85" s="8">
        <v>1</v>
      </c>
      <c r="H85" s="8">
        <v>0</v>
      </c>
      <c r="I85" s="8">
        <v>0</v>
      </c>
      <c r="J85" s="8">
        <v>0</v>
      </c>
      <c r="K85" s="8">
        <v>0</v>
      </c>
      <c r="L85" s="8">
        <v>0</v>
      </c>
      <c r="M85" s="8">
        <v>0</v>
      </c>
      <c r="N85" s="8">
        <v>0</v>
      </c>
      <c r="O85" s="8">
        <v>0</v>
      </c>
      <c r="P85" s="8">
        <v>0</v>
      </c>
      <c r="Q85" s="8">
        <v>0</v>
      </c>
      <c r="R85" s="8">
        <v>0</v>
      </c>
    </row>
    <row r="86" spans="3:18" x14ac:dyDescent="0.35">
      <c r="C86" s="9" t="s">
        <v>84</v>
      </c>
      <c r="D86" s="16">
        <v>50</v>
      </c>
      <c r="E86" s="8">
        <v>1509.925</v>
      </c>
      <c r="F86" s="8">
        <v>2500</v>
      </c>
      <c r="G86" s="8">
        <v>0</v>
      </c>
      <c r="H86" s="8">
        <v>1</v>
      </c>
      <c r="I86" s="8">
        <v>0</v>
      </c>
      <c r="J86" s="8">
        <v>0</v>
      </c>
      <c r="K86" s="8">
        <v>0</v>
      </c>
      <c r="L86" s="8">
        <v>0</v>
      </c>
      <c r="M86" s="8">
        <v>0</v>
      </c>
      <c r="N86" s="8">
        <v>0</v>
      </c>
      <c r="O86" s="8">
        <v>0</v>
      </c>
      <c r="P86" s="8">
        <v>0</v>
      </c>
      <c r="Q86" s="8">
        <v>0</v>
      </c>
      <c r="R86" s="8">
        <v>0</v>
      </c>
    </row>
    <row r="87" spans="3:18" x14ac:dyDescent="0.35">
      <c r="C87" s="9" t="s">
        <v>85</v>
      </c>
      <c r="D87" s="16">
        <v>51</v>
      </c>
      <c r="E87" s="8">
        <v>1813.316</v>
      </c>
      <c r="F87" s="8">
        <v>2601</v>
      </c>
      <c r="G87" s="8">
        <v>0</v>
      </c>
      <c r="H87" s="8">
        <v>0</v>
      </c>
      <c r="I87" s="8">
        <v>1</v>
      </c>
      <c r="J87" s="8">
        <v>0</v>
      </c>
      <c r="K87" s="8">
        <v>0</v>
      </c>
      <c r="L87" s="8">
        <v>0</v>
      </c>
      <c r="M87" s="8">
        <v>0</v>
      </c>
      <c r="N87" s="8">
        <v>0</v>
      </c>
      <c r="O87" s="8">
        <v>0</v>
      </c>
      <c r="P87" s="8">
        <v>0</v>
      </c>
      <c r="Q87" s="8">
        <v>0</v>
      </c>
      <c r="R87" s="8">
        <v>0</v>
      </c>
    </row>
    <row r="88" spans="3:18" x14ac:dyDescent="0.35">
      <c r="C88" s="9" t="s">
        <v>86</v>
      </c>
      <c r="D88" s="16">
        <v>52</v>
      </c>
      <c r="E88" s="8">
        <v>1746.895</v>
      </c>
      <c r="F88" s="8">
        <v>2704</v>
      </c>
      <c r="G88" s="8">
        <v>0</v>
      </c>
      <c r="H88" s="8">
        <v>0</v>
      </c>
      <c r="I88" s="8">
        <v>0</v>
      </c>
      <c r="J88" s="8">
        <v>1</v>
      </c>
      <c r="K88" s="8">
        <v>0</v>
      </c>
      <c r="L88" s="8">
        <v>0</v>
      </c>
      <c r="M88" s="8">
        <v>0</v>
      </c>
      <c r="N88" s="8">
        <v>0</v>
      </c>
      <c r="O88" s="8">
        <v>0</v>
      </c>
      <c r="P88" s="8">
        <v>0</v>
      </c>
      <c r="Q88" s="8">
        <v>0</v>
      </c>
      <c r="R88" s="8">
        <v>0</v>
      </c>
    </row>
    <row r="89" spans="3:18" x14ac:dyDescent="0.35">
      <c r="C89" s="9" t="s">
        <v>87</v>
      </c>
      <c r="D89" s="16">
        <v>53</v>
      </c>
      <c r="E89" s="8">
        <v>1785.345</v>
      </c>
      <c r="F89" s="8">
        <v>2809</v>
      </c>
      <c r="G89" s="8">
        <v>0</v>
      </c>
      <c r="H89" s="8">
        <v>0</v>
      </c>
      <c r="I89" s="8">
        <v>0</v>
      </c>
      <c r="J89" s="8">
        <v>0</v>
      </c>
      <c r="K89" s="8">
        <v>1</v>
      </c>
      <c r="L89" s="8">
        <v>0</v>
      </c>
      <c r="M89" s="8">
        <v>0</v>
      </c>
      <c r="N89" s="8">
        <v>0</v>
      </c>
      <c r="O89" s="8">
        <v>0</v>
      </c>
      <c r="P89" s="8">
        <v>0</v>
      </c>
      <c r="Q89" s="8">
        <v>0</v>
      </c>
      <c r="R89" s="8">
        <v>0</v>
      </c>
    </row>
    <row r="90" spans="3:18" x14ac:dyDescent="0.35">
      <c r="C90" s="9" t="s">
        <v>88</v>
      </c>
      <c r="D90" s="16">
        <v>54</v>
      </c>
      <c r="E90" s="8">
        <v>1777.2070000000001</v>
      </c>
      <c r="F90" s="8">
        <v>2916</v>
      </c>
      <c r="G90" s="8">
        <v>0</v>
      </c>
      <c r="H90" s="8">
        <v>0</v>
      </c>
      <c r="I90" s="8">
        <v>0</v>
      </c>
      <c r="J90" s="8">
        <v>0</v>
      </c>
      <c r="K90" s="8">
        <v>0</v>
      </c>
      <c r="L90" s="8">
        <v>1</v>
      </c>
      <c r="M90" s="8">
        <v>0</v>
      </c>
      <c r="N90" s="8">
        <v>0</v>
      </c>
      <c r="O90" s="8">
        <v>0</v>
      </c>
      <c r="P90" s="8">
        <v>0</v>
      </c>
      <c r="Q90" s="8">
        <v>0</v>
      </c>
      <c r="R90" s="8">
        <v>0</v>
      </c>
    </row>
    <row r="91" spans="3:18" x14ac:dyDescent="0.35">
      <c r="C91" s="9" t="s">
        <v>89</v>
      </c>
      <c r="D91" s="16">
        <v>55</v>
      </c>
      <c r="E91" s="8">
        <v>1804.655</v>
      </c>
      <c r="F91" s="8">
        <v>3025</v>
      </c>
      <c r="G91" s="8">
        <v>0</v>
      </c>
      <c r="H91" s="8">
        <v>0</v>
      </c>
      <c r="I91" s="8">
        <v>0</v>
      </c>
      <c r="J91" s="8">
        <v>0</v>
      </c>
      <c r="K91" s="8">
        <v>0</v>
      </c>
      <c r="L91" s="8">
        <v>0</v>
      </c>
      <c r="M91" s="8">
        <v>1</v>
      </c>
      <c r="N91" s="8">
        <v>0</v>
      </c>
      <c r="O91" s="8">
        <v>0</v>
      </c>
      <c r="P91" s="8">
        <v>0</v>
      </c>
      <c r="Q91" s="8">
        <v>0</v>
      </c>
      <c r="R91" s="8">
        <v>0</v>
      </c>
    </row>
    <row r="92" spans="3:18" x14ac:dyDescent="0.35">
      <c r="C92" s="9" t="s">
        <v>90</v>
      </c>
      <c r="D92" s="16">
        <v>56</v>
      </c>
      <c r="E92" s="8">
        <v>1886.82</v>
      </c>
      <c r="F92" s="8">
        <v>3136</v>
      </c>
      <c r="G92" s="8">
        <v>0</v>
      </c>
      <c r="H92" s="8">
        <v>0</v>
      </c>
      <c r="I92" s="8">
        <v>0</v>
      </c>
      <c r="J92" s="8">
        <v>0</v>
      </c>
      <c r="K92" s="8">
        <v>0</v>
      </c>
      <c r="L92" s="8">
        <v>0</v>
      </c>
      <c r="M92" s="8">
        <v>0</v>
      </c>
      <c r="N92" s="8">
        <v>1</v>
      </c>
      <c r="O92" s="8">
        <v>0</v>
      </c>
      <c r="P92" s="8">
        <v>0</v>
      </c>
      <c r="Q92" s="8">
        <v>0</v>
      </c>
      <c r="R92" s="8">
        <v>0</v>
      </c>
    </row>
    <row r="93" spans="3:18" x14ac:dyDescent="0.35">
      <c r="C93" s="9" t="s">
        <v>91</v>
      </c>
      <c r="D93" s="16">
        <v>57</v>
      </c>
      <c r="E93" s="8">
        <v>1583.309</v>
      </c>
      <c r="F93" s="8">
        <v>3249</v>
      </c>
      <c r="G93" s="8">
        <v>0</v>
      </c>
      <c r="H93" s="8">
        <v>0</v>
      </c>
      <c r="I93" s="8">
        <v>0</v>
      </c>
      <c r="J93" s="8">
        <v>0</v>
      </c>
      <c r="K93" s="8">
        <v>0</v>
      </c>
      <c r="L93" s="8">
        <v>0</v>
      </c>
      <c r="M93" s="8">
        <v>0</v>
      </c>
      <c r="N93" s="8">
        <v>0</v>
      </c>
      <c r="O93" s="8">
        <v>1</v>
      </c>
      <c r="P93" s="8">
        <v>0</v>
      </c>
      <c r="Q93" s="8">
        <v>0</v>
      </c>
      <c r="R93" s="8">
        <v>0</v>
      </c>
    </row>
    <row r="94" spans="3:18" x14ac:dyDescent="0.35">
      <c r="C94" s="9" t="s">
        <v>92</v>
      </c>
      <c r="D94" s="16">
        <v>58</v>
      </c>
      <c r="E94" s="8">
        <v>1663.9480000000001</v>
      </c>
      <c r="F94" s="8">
        <v>3364</v>
      </c>
      <c r="G94" s="8">
        <v>0</v>
      </c>
      <c r="H94" s="8">
        <v>0</v>
      </c>
      <c r="I94" s="8">
        <v>0</v>
      </c>
      <c r="J94" s="8">
        <v>0</v>
      </c>
      <c r="K94" s="8">
        <v>0</v>
      </c>
      <c r="L94" s="8">
        <v>0</v>
      </c>
      <c r="M94" s="8">
        <v>0</v>
      </c>
      <c r="N94" s="8">
        <v>0</v>
      </c>
      <c r="O94" s="8">
        <v>0</v>
      </c>
      <c r="P94" s="8">
        <v>1</v>
      </c>
      <c r="Q94" s="8">
        <v>0</v>
      </c>
      <c r="R94" s="8">
        <v>0</v>
      </c>
    </row>
    <row r="95" spans="3:18" x14ac:dyDescent="0.35">
      <c r="C95" s="9" t="s">
        <v>93</v>
      </c>
      <c r="D95" s="16">
        <v>59</v>
      </c>
      <c r="E95" s="8">
        <v>1687.6310000000001</v>
      </c>
      <c r="F95" s="8">
        <v>3481</v>
      </c>
      <c r="G95" s="8">
        <v>0</v>
      </c>
      <c r="H95" s="8">
        <v>0</v>
      </c>
      <c r="I95" s="8">
        <v>0</v>
      </c>
      <c r="J95" s="8">
        <v>0</v>
      </c>
      <c r="K95" s="8">
        <v>0</v>
      </c>
      <c r="L95" s="8">
        <v>0</v>
      </c>
      <c r="M95" s="8">
        <v>0</v>
      </c>
      <c r="N95" s="8">
        <v>0</v>
      </c>
      <c r="O95" s="8">
        <v>0</v>
      </c>
      <c r="P95" s="8">
        <v>0</v>
      </c>
      <c r="Q95" s="8">
        <v>1</v>
      </c>
      <c r="R95" s="8">
        <v>0</v>
      </c>
    </row>
    <row r="96" spans="3:18" x14ac:dyDescent="0.35">
      <c r="C96" s="9" t="s">
        <v>94</v>
      </c>
      <c r="D96" s="16">
        <v>60</v>
      </c>
      <c r="E96" s="8">
        <v>1670.845</v>
      </c>
      <c r="F96" s="8">
        <v>3600</v>
      </c>
      <c r="G96" s="8">
        <v>0</v>
      </c>
      <c r="H96" s="8">
        <v>0</v>
      </c>
      <c r="I96" s="8">
        <v>0</v>
      </c>
      <c r="J96" s="8">
        <v>0</v>
      </c>
      <c r="K96" s="8">
        <v>0</v>
      </c>
      <c r="L96" s="8">
        <v>0</v>
      </c>
      <c r="M96" s="8">
        <v>0</v>
      </c>
      <c r="N96" s="8">
        <v>0</v>
      </c>
      <c r="O96" s="8">
        <v>0</v>
      </c>
      <c r="P96" s="8">
        <v>0</v>
      </c>
      <c r="Q96" s="8">
        <v>0</v>
      </c>
      <c r="R96" s="8">
        <v>1</v>
      </c>
    </row>
    <row r="97" spans="3:18" x14ac:dyDescent="0.35">
      <c r="C97" s="9" t="s">
        <v>95</v>
      </c>
      <c r="D97" s="16">
        <v>61</v>
      </c>
      <c r="E97" s="8">
        <v>1398.758</v>
      </c>
      <c r="F97" s="8">
        <v>3721</v>
      </c>
      <c r="G97" s="8">
        <v>1</v>
      </c>
      <c r="H97" s="8">
        <v>0</v>
      </c>
      <c r="I97" s="8">
        <v>0</v>
      </c>
      <c r="J97" s="8">
        <v>0</v>
      </c>
      <c r="K97" s="8">
        <v>0</v>
      </c>
      <c r="L97" s="8">
        <v>0</v>
      </c>
      <c r="M97" s="8">
        <v>0</v>
      </c>
      <c r="N97" s="8">
        <v>0</v>
      </c>
      <c r="O97" s="8">
        <v>0</v>
      </c>
      <c r="P97" s="8">
        <v>0</v>
      </c>
      <c r="Q97" s="8">
        <v>0</v>
      </c>
      <c r="R97" s="8">
        <v>0</v>
      </c>
    </row>
    <row r="98" spans="3:18" x14ac:dyDescent="0.35">
      <c r="C98" s="9" t="s">
        <v>96</v>
      </c>
      <c r="D98" s="16">
        <v>62</v>
      </c>
      <c r="E98" s="8">
        <v>1375.8520000000001</v>
      </c>
      <c r="F98" s="8">
        <v>3844</v>
      </c>
      <c r="G98" s="8">
        <v>0</v>
      </c>
      <c r="H98" s="8">
        <v>1</v>
      </c>
      <c r="I98" s="8">
        <v>0</v>
      </c>
      <c r="J98" s="8">
        <v>0</v>
      </c>
      <c r="K98" s="8">
        <v>0</v>
      </c>
      <c r="L98" s="8">
        <v>0</v>
      </c>
      <c r="M98" s="8">
        <v>0</v>
      </c>
      <c r="N98" s="8">
        <v>0</v>
      </c>
      <c r="O98" s="8">
        <v>0</v>
      </c>
      <c r="P98" s="8">
        <v>0</v>
      </c>
      <c r="Q98" s="8">
        <v>0</v>
      </c>
      <c r="R98" s="8">
        <v>0</v>
      </c>
    </row>
    <row r="99" spans="3:18" x14ac:dyDescent="0.35">
      <c r="C99" s="9" t="s">
        <v>97</v>
      </c>
      <c r="D99" s="16">
        <v>63</v>
      </c>
      <c r="E99" s="8">
        <v>1572.575</v>
      </c>
      <c r="F99" s="8">
        <v>3969</v>
      </c>
      <c r="G99" s="8">
        <v>0</v>
      </c>
      <c r="H99" s="8">
        <v>0</v>
      </c>
      <c r="I99" s="8">
        <v>1</v>
      </c>
      <c r="J99" s="8">
        <v>0</v>
      </c>
      <c r="K99" s="8">
        <v>0</v>
      </c>
      <c r="L99" s="8">
        <v>0</v>
      </c>
      <c r="M99" s="8">
        <v>0</v>
      </c>
      <c r="N99" s="8">
        <v>0</v>
      </c>
      <c r="O99" s="8">
        <v>0</v>
      </c>
      <c r="P99" s="8">
        <v>0</v>
      </c>
      <c r="Q99" s="8">
        <v>0</v>
      </c>
      <c r="R99" s="8">
        <v>0</v>
      </c>
    </row>
    <row r="100" spans="3:18" x14ac:dyDescent="0.35">
      <c r="C100" s="9" t="s">
        <v>98</v>
      </c>
      <c r="D100" s="16">
        <v>64</v>
      </c>
      <c r="E100" s="8">
        <v>1620.42</v>
      </c>
      <c r="F100" s="8">
        <v>4096</v>
      </c>
      <c r="G100" s="8">
        <v>0</v>
      </c>
      <c r="H100" s="8">
        <v>0</v>
      </c>
      <c r="I100" s="8">
        <v>0</v>
      </c>
      <c r="J100" s="8">
        <v>1</v>
      </c>
      <c r="K100" s="8">
        <v>0</v>
      </c>
      <c r="L100" s="8">
        <v>0</v>
      </c>
      <c r="M100" s="8">
        <v>0</v>
      </c>
      <c r="N100" s="8">
        <v>0</v>
      </c>
      <c r="O100" s="8">
        <v>0</v>
      </c>
      <c r="P100" s="8">
        <v>0</v>
      </c>
      <c r="Q100" s="8">
        <v>0</v>
      </c>
      <c r="R100" s="8">
        <v>0</v>
      </c>
    </row>
    <row r="101" spans="3:18" x14ac:dyDescent="0.35">
      <c r="C101" s="9" t="s">
        <v>99</v>
      </c>
      <c r="D101" s="16">
        <v>65</v>
      </c>
      <c r="E101" s="8">
        <v>1709.6959999999999</v>
      </c>
      <c r="F101" s="8">
        <v>4225</v>
      </c>
      <c r="G101" s="8">
        <v>0</v>
      </c>
      <c r="H101" s="8">
        <v>0</v>
      </c>
      <c r="I101" s="8">
        <v>0</v>
      </c>
      <c r="J101" s="8">
        <v>0</v>
      </c>
      <c r="K101" s="8">
        <v>1</v>
      </c>
      <c r="L101" s="8">
        <v>0</v>
      </c>
      <c r="M101" s="8">
        <v>0</v>
      </c>
      <c r="N101" s="8">
        <v>0</v>
      </c>
      <c r="O101" s="8">
        <v>0</v>
      </c>
      <c r="P101" s="8">
        <v>0</v>
      </c>
      <c r="Q101" s="8">
        <v>0</v>
      </c>
      <c r="R101" s="8">
        <v>0</v>
      </c>
    </row>
    <row r="102" spans="3:18" x14ac:dyDescent="0.35">
      <c r="C102" s="9" t="s">
        <v>100</v>
      </c>
      <c r="D102" s="16">
        <v>66</v>
      </c>
      <c r="E102" s="8">
        <v>1709.183</v>
      </c>
      <c r="F102" s="8">
        <v>4356</v>
      </c>
      <c r="G102" s="8">
        <v>0</v>
      </c>
      <c r="H102" s="8">
        <v>0</v>
      </c>
      <c r="I102" s="8">
        <v>0</v>
      </c>
      <c r="J102" s="8">
        <v>0</v>
      </c>
      <c r="K102" s="8">
        <v>0</v>
      </c>
      <c r="L102" s="8">
        <v>1</v>
      </c>
      <c r="M102" s="8">
        <v>0</v>
      </c>
      <c r="N102" s="8">
        <v>0</v>
      </c>
      <c r="O102" s="8">
        <v>0</v>
      </c>
      <c r="P102" s="8">
        <v>0</v>
      </c>
      <c r="Q102" s="8">
        <v>0</v>
      </c>
      <c r="R102" s="8">
        <v>0</v>
      </c>
    </row>
    <row r="103" spans="3:18" x14ac:dyDescent="0.35">
      <c r="C103" s="9" t="s">
        <v>101</v>
      </c>
      <c r="D103" s="16">
        <v>67</v>
      </c>
      <c r="E103" s="8">
        <v>1851.5160000000001</v>
      </c>
      <c r="F103" s="8">
        <v>4489</v>
      </c>
      <c r="G103" s="8">
        <v>0</v>
      </c>
      <c r="H103" s="8">
        <v>0</v>
      </c>
      <c r="I103" s="8">
        <v>0</v>
      </c>
      <c r="J103" s="8">
        <v>0</v>
      </c>
      <c r="K103" s="8">
        <v>0</v>
      </c>
      <c r="L103" s="8">
        <v>0</v>
      </c>
      <c r="M103" s="8">
        <v>1</v>
      </c>
      <c r="N103" s="8">
        <v>0</v>
      </c>
      <c r="O103" s="8">
        <v>0</v>
      </c>
      <c r="P103" s="8">
        <v>0</v>
      </c>
      <c r="Q103" s="8">
        <v>0</v>
      </c>
      <c r="R103" s="8">
        <v>0</v>
      </c>
    </row>
    <row r="104" spans="3:18" x14ac:dyDescent="0.35">
      <c r="C104" s="9" t="s">
        <v>102</v>
      </c>
      <c r="D104" s="16">
        <v>68</v>
      </c>
      <c r="E104" s="8">
        <v>1958.5730000000001</v>
      </c>
      <c r="F104" s="8">
        <v>4624</v>
      </c>
      <c r="G104" s="8">
        <v>0</v>
      </c>
      <c r="H104" s="8">
        <v>0</v>
      </c>
      <c r="I104" s="8">
        <v>0</v>
      </c>
      <c r="J104" s="8">
        <v>0</v>
      </c>
      <c r="K104" s="8">
        <v>0</v>
      </c>
      <c r="L104" s="8">
        <v>0</v>
      </c>
      <c r="M104" s="8">
        <v>0</v>
      </c>
      <c r="N104" s="8">
        <v>1</v>
      </c>
      <c r="O104" s="8">
        <v>0</v>
      </c>
      <c r="P104" s="8">
        <v>0</v>
      </c>
      <c r="Q104" s="8">
        <v>0</v>
      </c>
      <c r="R104" s="8">
        <v>0</v>
      </c>
    </row>
    <row r="105" spans="3:18" x14ac:dyDescent="0.35">
      <c r="C105" s="9" t="s">
        <v>103</v>
      </c>
      <c r="D105" s="16">
        <v>69</v>
      </c>
      <c r="E105" s="8">
        <v>1565.4010000000001</v>
      </c>
      <c r="F105" s="8">
        <v>4761</v>
      </c>
      <c r="G105" s="8">
        <v>0</v>
      </c>
      <c r="H105" s="8">
        <v>0</v>
      </c>
      <c r="I105" s="8">
        <v>0</v>
      </c>
      <c r="J105" s="8">
        <v>0</v>
      </c>
      <c r="K105" s="8">
        <v>0</v>
      </c>
      <c r="L105" s="8">
        <v>0</v>
      </c>
      <c r="M105" s="8">
        <v>0</v>
      </c>
      <c r="N105" s="8">
        <v>0</v>
      </c>
      <c r="O105" s="8">
        <v>1</v>
      </c>
      <c r="P105" s="8">
        <v>0</v>
      </c>
      <c r="Q105" s="8">
        <v>0</v>
      </c>
      <c r="R105" s="8">
        <v>0</v>
      </c>
    </row>
    <row r="106" spans="3:18" x14ac:dyDescent="0.35">
      <c r="C106" s="9" t="s">
        <v>104</v>
      </c>
      <c r="D106" s="16">
        <v>70</v>
      </c>
      <c r="E106" s="8">
        <v>1700.508</v>
      </c>
      <c r="F106" s="8">
        <v>4900</v>
      </c>
      <c r="G106" s="8">
        <v>0</v>
      </c>
      <c r="H106" s="8">
        <v>0</v>
      </c>
      <c r="I106" s="8">
        <v>0</v>
      </c>
      <c r="J106" s="8">
        <v>0</v>
      </c>
      <c r="K106" s="8">
        <v>0</v>
      </c>
      <c r="L106" s="8">
        <v>0</v>
      </c>
      <c r="M106" s="8">
        <v>0</v>
      </c>
      <c r="N106" s="8">
        <v>0</v>
      </c>
      <c r="O106" s="8">
        <v>0</v>
      </c>
      <c r="P106" s="8">
        <v>1</v>
      </c>
      <c r="Q106" s="8">
        <v>0</v>
      </c>
      <c r="R106" s="8">
        <v>0</v>
      </c>
    </row>
    <row r="107" spans="3:18" x14ac:dyDescent="0.35">
      <c r="C107" s="9" t="s">
        <v>105</v>
      </c>
      <c r="D107" s="16">
        <v>71</v>
      </c>
      <c r="E107" s="8">
        <v>1588.204</v>
      </c>
      <c r="F107" s="8">
        <v>5041</v>
      </c>
      <c r="G107" s="8">
        <v>0</v>
      </c>
      <c r="H107" s="8">
        <v>0</v>
      </c>
      <c r="I107" s="8">
        <v>0</v>
      </c>
      <c r="J107" s="8">
        <v>0</v>
      </c>
      <c r="K107" s="8">
        <v>0</v>
      </c>
      <c r="L107" s="8">
        <v>0</v>
      </c>
      <c r="M107" s="8">
        <v>0</v>
      </c>
      <c r="N107" s="8">
        <v>0</v>
      </c>
      <c r="O107" s="8">
        <v>0</v>
      </c>
      <c r="P107" s="8">
        <v>0</v>
      </c>
      <c r="Q107" s="8">
        <v>1</v>
      </c>
      <c r="R107" s="8">
        <v>0</v>
      </c>
    </row>
    <row r="108" spans="3:18" x14ac:dyDescent="0.35">
      <c r="C108" s="9" t="s">
        <v>106</v>
      </c>
      <c r="D108" s="16">
        <v>72</v>
      </c>
      <c r="E108" s="8">
        <v>1713.433</v>
      </c>
      <c r="F108" s="8">
        <v>5184</v>
      </c>
      <c r="G108" s="8">
        <v>0</v>
      </c>
      <c r="H108" s="8">
        <v>0</v>
      </c>
      <c r="I108" s="8">
        <v>0</v>
      </c>
      <c r="J108" s="8">
        <v>0</v>
      </c>
      <c r="K108" s="8">
        <v>0</v>
      </c>
      <c r="L108" s="8">
        <v>0</v>
      </c>
      <c r="M108" s="8">
        <v>0</v>
      </c>
      <c r="N108" s="8">
        <v>0</v>
      </c>
      <c r="O108" s="8">
        <v>0</v>
      </c>
      <c r="P108" s="8">
        <v>0</v>
      </c>
      <c r="Q108" s="8">
        <v>0</v>
      </c>
      <c r="R108" s="8">
        <v>1</v>
      </c>
    </row>
    <row r="109" spans="3:18" x14ac:dyDescent="0.35">
      <c r="C109" s="9" t="s">
        <v>107</v>
      </c>
      <c r="D109" s="16">
        <v>73</v>
      </c>
      <c r="E109" s="8">
        <v>1411.588</v>
      </c>
      <c r="F109" s="8">
        <v>5329</v>
      </c>
      <c r="G109" s="8">
        <v>1</v>
      </c>
      <c r="H109" s="8">
        <v>0</v>
      </c>
      <c r="I109" s="8">
        <v>0</v>
      </c>
      <c r="J109" s="8">
        <v>0</v>
      </c>
      <c r="K109" s="8">
        <v>0</v>
      </c>
      <c r="L109" s="8">
        <v>0</v>
      </c>
      <c r="M109" s="8">
        <v>0</v>
      </c>
      <c r="N109" s="8">
        <v>0</v>
      </c>
      <c r="O109" s="8">
        <v>0</v>
      </c>
      <c r="P109" s="8">
        <v>0</v>
      </c>
      <c r="Q109" s="8">
        <v>0</v>
      </c>
      <c r="R109" s="8">
        <v>0</v>
      </c>
    </row>
    <row r="110" spans="3:18" x14ac:dyDescent="0.35">
      <c r="C110" s="9" t="s">
        <v>108</v>
      </c>
      <c r="D110" s="16">
        <v>74</v>
      </c>
      <c r="E110" s="8">
        <v>1388.69</v>
      </c>
      <c r="F110" s="8">
        <v>5476</v>
      </c>
      <c r="G110" s="8">
        <v>0</v>
      </c>
      <c r="H110" s="8">
        <v>1</v>
      </c>
      <c r="I110" s="8">
        <v>0</v>
      </c>
      <c r="J110" s="8">
        <v>0</v>
      </c>
      <c r="K110" s="8">
        <v>0</v>
      </c>
      <c r="L110" s="8">
        <v>0</v>
      </c>
      <c r="M110" s="8">
        <v>0</v>
      </c>
      <c r="N110" s="8">
        <v>0</v>
      </c>
      <c r="O110" s="8">
        <v>0</v>
      </c>
      <c r="P110" s="8">
        <v>0</v>
      </c>
      <c r="Q110" s="8">
        <v>0</v>
      </c>
      <c r="R110" s="8">
        <v>0</v>
      </c>
    </row>
    <row r="111" spans="3:18" x14ac:dyDescent="0.35">
      <c r="C111" s="9" t="s">
        <v>109</v>
      </c>
      <c r="D111" s="16">
        <v>75</v>
      </c>
      <c r="E111" s="8">
        <v>1720.5219999999999</v>
      </c>
      <c r="F111" s="8">
        <v>5625</v>
      </c>
      <c r="G111" s="8">
        <v>0</v>
      </c>
      <c r="H111" s="8">
        <v>0</v>
      </c>
      <c r="I111" s="8">
        <v>1</v>
      </c>
      <c r="J111" s="8">
        <v>0</v>
      </c>
      <c r="K111" s="8">
        <v>0</v>
      </c>
      <c r="L111" s="8">
        <v>0</v>
      </c>
      <c r="M111" s="8">
        <v>0</v>
      </c>
      <c r="N111" s="8">
        <v>0</v>
      </c>
      <c r="O111" s="8">
        <v>0</v>
      </c>
      <c r="P111" s="8">
        <v>0</v>
      </c>
      <c r="Q111" s="8">
        <v>0</v>
      </c>
      <c r="R111" s="8">
        <v>0</v>
      </c>
    </row>
    <row r="112" spans="3:18" x14ac:dyDescent="0.35">
      <c r="C112" s="9" t="s">
        <v>110</v>
      </c>
      <c r="D112" s="16">
        <v>76</v>
      </c>
      <c r="E112" s="8">
        <v>1666.604</v>
      </c>
      <c r="F112" s="8">
        <v>5776</v>
      </c>
      <c r="G112" s="8">
        <v>0</v>
      </c>
      <c r="H112" s="8">
        <v>0</v>
      </c>
      <c r="I112" s="8">
        <v>0</v>
      </c>
      <c r="J112" s="8">
        <v>1</v>
      </c>
      <c r="K112" s="8">
        <v>0</v>
      </c>
      <c r="L112" s="8">
        <v>0</v>
      </c>
      <c r="M112" s="8">
        <v>0</v>
      </c>
      <c r="N112" s="8">
        <v>0</v>
      </c>
      <c r="O112" s="8">
        <v>0</v>
      </c>
      <c r="P112" s="8">
        <v>0</v>
      </c>
      <c r="Q112" s="8">
        <v>0</v>
      </c>
      <c r="R112" s="8">
        <v>0</v>
      </c>
    </row>
    <row r="113" spans="3:18" x14ac:dyDescent="0.35">
      <c r="C113" s="9" t="s">
        <v>111</v>
      </c>
      <c r="D113" s="16">
        <v>77</v>
      </c>
      <c r="E113" s="8">
        <v>1779.903</v>
      </c>
      <c r="F113" s="8">
        <v>5929</v>
      </c>
      <c r="G113" s="8">
        <v>0</v>
      </c>
      <c r="H113" s="8">
        <v>0</v>
      </c>
      <c r="I113" s="8">
        <v>0</v>
      </c>
      <c r="J113" s="8">
        <v>0</v>
      </c>
      <c r="K113" s="8">
        <v>1</v>
      </c>
      <c r="L113" s="8">
        <v>0</v>
      </c>
      <c r="M113" s="8">
        <v>0</v>
      </c>
      <c r="N113" s="8">
        <v>0</v>
      </c>
      <c r="O113" s="8">
        <v>0</v>
      </c>
      <c r="P113" s="8">
        <v>0</v>
      </c>
      <c r="Q113" s="8">
        <v>0</v>
      </c>
      <c r="R113" s="8">
        <v>0</v>
      </c>
    </row>
    <row r="114" spans="3:18" x14ac:dyDescent="0.35">
      <c r="C114" s="9" t="s">
        <v>112</v>
      </c>
      <c r="D114" s="16">
        <v>78</v>
      </c>
      <c r="E114" s="8">
        <v>1787.8</v>
      </c>
      <c r="F114" s="8">
        <v>6084</v>
      </c>
      <c r="G114" s="8">
        <v>0</v>
      </c>
      <c r="H114" s="8">
        <v>0</v>
      </c>
      <c r="I114" s="8">
        <v>0</v>
      </c>
      <c r="J114" s="8">
        <v>0</v>
      </c>
      <c r="K114" s="8">
        <v>0</v>
      </c>
      <c r="L114" s="8">
        <v>1</v>
      </c>
      <c r="M114" s="8">
        <v>0</v>
      </c>
      <c r="N114" s="8">
        <v>0</v>
      </c>
      <c r="O114" s="8">
        <v>0</v>
      </c>
      <c r="P114" s="8">
        <v>0</v>
      </c>
      <c r="Q114" s="8">
        <v>0</v>
      </c>
      <c r="R114" s="8">
        <v>0</v>
      </c>
    </row>
    <row r="115" spans="3:18" x14ac:dyDescent="0.35">
      <c r="C115" s="9" t="s">
        <v>113</v>
      </c>
      <c r="D115" s="16">
        <v>79</v>
      </c>
      <c r="E115" s="8">
        <v>1951.2190000000001</v>
      </c>
      <c r="F115" s="8">
        <v>6241</v>
      </c>
      <c r="G115" s="8">
        <v>0</v>
      </c>
      <c r="H115" s="8">
        <v>0</v>
      </c>
      <c r="I115" s="8">
        <v>0</v>
      </c>
      <c r="J115" s="8">
        <v>0</v>
      </c>
      <c r="K115" s="8">
        <v>0</v>
      </c>
      <c r="L115" s="8">
        <v>0</v>
      </c>
      <c r="M115" s="8">
        <v>1</v>
      </c>
      <c r="N115" s="8">
        <v>0</v>
      </c>
      <c r="O115" s="8">
        <v>0</v>
      </c>
      <c r="P115" s="8">
        <v>0</v>
      </c>
      <c r="Q115" s="8">
        <v>0</v>
      </c>
      <c r="R115" s="8">
        <v>0</v>
      </c>
    </row>
    <row r="116" spans="3:18" x14ac:dyDescent="0.35">
      <c r="C116" s="9" t="s">
        <v>114</v>
      </c>
      <c r="D116" s="16">
        <v>80</v>
      </c>
      <c r="E116" s="8">
        <v>2021.0550000000001</v>
      </c>
      <c r="F116" s="8">
        <v>6400</v>
      </c>
      <c r="G116" s="8">
        <v>0</v>
      </c>
      <c r="H116" s="8">
        <v>0</v>
      </c>
      <c r="I116" s="8">
        <v>0</v>
      </c>
      <c r="J116" s="8">
        <v>0</v>
      </c>
      <c r="K116" s="8">
        <v>0</v>
      </c>
      <c r="L116" s="8">
        <v>0</v>
      </c>
      <c r="M116" s="8">
        <v>0</v>
      </c>
      <c r="N116" s="8">
        <v>1</v>
      </c>
      <c r="O116" s="8">
        <v>0</v>
      </c>
      <c r="P116" s="8">
        <v>0</v>
      </c>
      <c r="Q116" s="8">
        <v>0</v>
      </c>
      <c r="R116" s="8">
        <v>0</v>
      </c>
    </row>
    <row r="117" spans="3:18" x14ac:dyDescent="0.35">
      <c r="C117" s="9" t="s">
        <v>115</v>
      </c>
      <c r="D117" s="16">
        <v>81</v>
      </c>
      <c r="E117" s="8">
        <v>1629.924</v>
      </c>
      <c r="F117" s="8">
        <v>6561</v>
      </c>
      <c r="G117" s="8">
        <v>0</v>
      </c>
      <c r="H117" s="8">
        <v>0</v>
      </c>
      <c r="I117" s="8">
        <v>0</v>
      </c>
      <c r="J117" s="8">
        <v>0</v>
      </c>
      <c r="K117" s="8">
        <v>0</v>
      </c>
      <c r="L117" s="8">
        <v>0</v>
      </c>
      <c r="M117" s="8">
        <v>0</v>
      </c>
      <c r="N117" s="8">
        <v>0</v>
      </c>
      <c r="O117" s="8">
        <v>1</v>
      </c>
      <c r="P117" s="8">
        <v>0</v>
      </c>
      <c r="Q117" s="8">
        <v>0</v>
      </c>
      <c r="R117" s="8">
        <v>0</v>
      </c>
    </row>
    <row r="118" spans="3:18" x14ac:dyDescent="0.35">
      <c r="C118" s="9" t="s">
        <v>116</v>
      </c>
      <c r="D118" s="16">
        <v>82</v>
      </c>
      <c r="E118" s="8">
        <v>1789.91</v>
      </c>
      <c r="F118" s="8">
        <v>6724</v>
      </c>
      <c r="G118" s="8">
        <v>0</v>
      </c>
      <c r="H118" s="8">
        <v>0</v>
      </c>
      <c r="I118" s="8">
        <v>0</v>
      </c>
      <c r="J118" s="8">
        <v>0</v>
      </c>
      <c r="K118" s="8">
        <v>0</v>
      </c>
      <c r="L118" s="8">
        <v>0</v>
      </c>
      <c r="M118" s="8">
        <v>0</v>
      </c>
      <c r="N118" s="8">
        <v>0</v>
      </c>
      <c r="O118" s="8">
        <v>0</v>
      </c>
      <c r="P118" s="8">
        <v>1</v>
      </c>
      <c r="Q118" s="8">
        <v>0</v>
      </c>
      <c r="R118" s="8">
        <v>0</v>
      </c>
    </row>
    <row r="119" spans="3:18" x14ac:dyDescent="0.35">
      <c r="C119" s="9" t="s">
        <v>117</v>
      </c>
      <c r="D119" s="16">
        <v>83</v>
      </c>
      <c r="E119" s="8">
        <v>1749.3679999999999</v>
      </c>
      <c r="F119" s="8">
        <v>6889</v>
      </c>
      <c r="G119" s="8">
        <v>0</v>
      </c>
      <c r="H119" s="8">
        <v>0</v>
      </c>
      <c r="I119" s="8">
        <v>0</v>
      </c>
      <c r="J119" s="8">
        <v>0</v>
      </c>
      <c r="K119" s="8">
        <v>0</v>
      </c>
      <c r="L119" s="8">
        <v>0</v>
      </c>
      <c r="M119" s="8">
        <v>0</v>
      </c>
      <c r="N119" s="8">
        <v>0</v>
      </c>
      <c r="O119" s="8">
        <v>0</v>
      </c>
      <c r="P119" s="8">
        <v>0</v>
      </c>
      <c r="Q119" s="8">
        <v>1</v>
      </c>
      <c r="R119" s="8">
        <v>0</v>
      </c>
    </row>
    <row r="120" spans="3:18" x14ac:dyDescent="0.35">
      <c r="C120" s="9" t="s">
        <v>118</v>
      </c>
      <c r="D120" s="16">
        <v>84</v>
      </c>
      <c r="E120" s="8">
        <v>1809.626</v>
      </c>
      <c r="F120" s="8">
        <v>7056</v>
      </c>
      <c r="G120" s="8">
        <v>0</v>
      </c>
      <c r="H120" s="8">
        <v>0</v>
      </c>
      <c r="I120" s="8">
        <v>0</v>
      </c>
      <c r="J120" s="8">
        <v>0</v>
      </c>
      <c r="K120" s="8">
        <v>0</v>
      </c>
      <c r="L120" s="8">
        <v>0</v>
      </c>
      <c r="M120" s="8">
        <v>0</v>
      </c>
      <c r="N120" s="8">
        <v>0</v>
      </c>
      <c r="O120" s="8">
        <v>0</v>
      </c>
      <c r="P120" s="8">
        <v>0</v>
      </c>
      <c r="Q120" s="8">
        <v>0</v>
      </c>
      <c r="R120" s="8">
        <v>1</v>
      </c>
    </row>
    <row r="121" spans="3:18" x14ac:dyDescent="0.35">
      <c r="C121" s="9" t="s">
        <v>119</v>
      </c>
      <c r="D121" s="16">
        <v>85</v>
      </c>
      <c r="E121" s="8">
        <v>1583.33</v>
      </c>
      <c r="F121" s="8">
        <v>7225</v>
      </c>
      <c r="G121" s="8">
        <v>1</v>
      </c>
      <c r="H121" s="8">
        <v>0</v>
      </c>
      <c r="I121" s="8">
        <v>0</v>
      </c>
      <c r="J121" s="8">
        <v>0</v>
      </c>
      <c r="K121" s="8">
        <v>0</v>
      </c>
      <c r="L121" s="8">
        <v>0</v>
      </c>
      <c r="M121" s="8">
        <v>0</v>
      </c>
      <c r="N121" s="8">
        <v>0</v>
      </c>
      <c r="O121" s="8">
        <v>0</v>
      </c>
      <c r="P121" s="8">
        <v>0</v>
      </c>
      <c r="Q121" s="8">
        <v>0</v>
      </c>
      <c r="R121" s="8">
        <v>0</v>
      </c>
    </row>
    <row r="122" spans="3:18" x14ac:dyDescent="0.35">
      <c r="C122" s="9" t="s">
        <v>120</v>
      </c>
      <c r="D122" s="16">
        <v>86</v>
      </c>
      <c r="E122" s="8">
        <v>1424.691</v>
      </c>
      <c r="F122" s="8">
        <v>7396</v>
      </c>
      <c r="G122" s="8">
        <v>0</v>
      </c>
      <c r="H122" s="8">
        <v>1</v>
      </c>
      <c r="I122" s="8">
        <v>0</v>
      </c>
      <c r="J122" s="8">
        <v>0</v>
      </c>
      <c r="K122" s="8">
        <v>0</v>
      </c>
      <c r="L122" s="8">
        <v>0</v>
      </c>
      <c r="M122" s="8">
        <v>0</v>
      </c>
      <c r="N122" s="8">
        <v>0</v>
      </c>
      <c r="O122" s="8">
        <v>0</v>
      </c>
      <c r="P122" s="8">
        <v>0</v>
      </c>
      <c r="Q122" s="8">
        <v>0</v>
      </c>
      <c r="R122" s="8">
        <v>0</v>
      </c>
    </row>
    <row r="123" spans="3:18" x14ac:dyDescent="0.35">
      <c r="C123" s="9" t="s">
        <v>121</v>
      </c>
      <c r="D123" s="16">
        <v>87</v>
      </c>
      <c r="E123" s="8">
        <v>1766.6410000000001</v>
      </c>
      <c r="F123" s="8">
        <v>7569</v>
      </c>
      <c r="G123" s="8">
        <v>0</v>
      </c>
      <c r="H123" s="8">
        <v>0</v>
      </c>
      <c r="I123" s="8">
        <v>1</v>
      </c>
      <c r="J123" s="8">
        <v>0</v>
      </c>
      <c r="K123" s="8">
        <v>0</v>
      </c>
      <c r="L123" s="8">
        <v>0</v>
      </c>
      <c r="M123" s="8">
        <v>0</v>
      </c>
      <c r="N123" s="8">
        <v>0</v>
      </c>
      <c r="O123" s="8">
        <v>0</v>
      </c>
      <c r="P123" s="8">
        <v>0</v>
      </c>
      <c r="Q123" s="8">
        <v>0</v>
      </c>
      <c r="R123" s="8">
        <v>0</v>
      </c>
    </row>
    <row r="124" spans="3:18" x14ac:dyDescent="0.35">
      <c r="C124" s="9" t="s">
        <v>122</v>
      </c>
      <c r="D124" s="16">
        <v>88</v>
      </c>
      <c r="E124" s="8">
        <v>1841.932</v>
      </c>
      <c r="F124" s="8">
        <v>7744</v>
      </c>
      <c r="G124" s="8">
        <v>0</v>
      </c>
      <c r="H124" s="8">
        <v>0</v>
      </c>
      <c r="I124" s="8">
        <v>0</v>
      </c>
      <c r="J124" s="8">
        <v>1</v>
      </c>
      <c r="K124" s="8">
        <v>0</v>
      </c>
      <c r="L124" s="8">
        <v>0</v>
      </c>
      <c r="M124" s="8">
        <v>0</v>
      </c>
      <c r="N124" s="8">
        <v>0</v>
      </c>
      <c r="O124" s="8">
        <v>0</v>
      </c>
      <c r="P124" s="8">
        <v>0</v>
      </c>
      <c r="Q124" s="8">
        <v>0</v>
      </c>
      <c r="R124" s="8">
        <v>0</v>
      </c>
    </row>
    <row r="125" spans="3:18" x14ac:dyDescent="0.35">
      <c r="C125" s="9" t="s">
        <v>123</v>
      </c>
      <c r="D125" s="16">
        <v>89</v>
      </c>
      <c r="E125" s="8">
        <v>1855.289</v>
      </c>
      <c r="F125" s="8">
        <v>7921</v>
      </c>
      <c r="G125" s="8">
        <v>0</v>
      </c>
      <c r="H125" s="8">
        <v>0</v>
      </c>
      <c r="I125" s="8">
        <v>0</v>
      </c>
      <c r="J125" s="8">
        <v>0</v>
      </c>
      <c r="K125" s="8">
        <v>1</v>
      </c>
      <c r="L125" s="8">
        <v>0</v>
      </c>
      <c r="M125" s="8">
        <v>0</v>
      </c>
      <c r="N125" s="8">
        <v>0</v>
      </c>
      <c r="O125" s="8">
        <v>0</v>
      </c>
      <c r="P125" s="8">
        <v>0</v>
      </c>
      <c r="Q125" s="8">
        <v>0</v>
      </c>
      <c r="R125" s="8">
        <v>0</v>
      </c>
    </row>
    <row r="126" spans="3:18" x14ac:dyDescent="0.35">
      <c r="C126" s="9" t="s">
        <v>124</v>
      </c>
      <c r="D126" s="16">
        <v>90</v>
      </c>
      <c r="E126" s="8">
        <v>1837.9639999999999</v>
      </c>
      <c r="F126" s="8">
        <v>8100</v>
      </c>
      <c r="G126" s="8">
        <v>0</v>
      </c>
      <c r="H126" s="8">
        <v>0</v>
      </c>
      <c r="I126" s="8">
        <v>0</v>
      </c>
      <c r="J126" s="8">
        <v>0</v>
      </c>
      <c r="K126" s="8">
        <v>0</v>
      </c>
      <c r="L126" s="8">
        <v>1</v>
      </c>
      <c r="M126" s="8">
        <v>0</v>
      </c>
      <c r="N126" s="8">
        <v>0</v>
      </c>
      <c r="O126" s="8">
        <v>0</v>
      </c>
      <c r="P126" s="8">
        <v>0</v>
      </c>
      <c r="Q126" s="8">
        <v>0</v>
      </c>
      <c r="R126" s="8">
        <v>0</v>
      </c>
    </row>
    <row r="127" spans="3:18" x14ac:dyDescent="0.35">
      <c r="C127" s="9" t="s">
        <v>125</v>
      </c>
      <c r="D127" s="16">
        <v>91</v>
      </c>
      <c r="E127" s="8">
        <v>1985.172</v>
      </c>
      <c r="F127" s="8">
        <v>8281</v>
      </c>
      <c r="G127" s="8">
        <v>0</v>
      </c>
      <c r="H127" s="8">
        <v>0</v>
      </c>
      <c r="I127" s="8">
        <v>0</v>
      </c>
      <c r="J127" s="8">
        <v>0</v>
      </c>
      <c r="K127" s="8">
        <v>0</v>
      </c>
      <c r="L127" s="8">
        <v>0</v>
      </c>
      <c r="M127" s="8">
        <v>1</v>
      </c>
      <c r="N127" s="8">
        <v>0</v>
      </c>
      <c r="O127" s="8">
        <v>0</v>
      </c>
      <c r="P127" s="8">
        <v>0</v>
      </c>
      <c r="Q127" s="8">
        <v>0</v>
      </c>
      <c r="R127" s="8">
        <v>0</v>
      </c>
    </row>
    <row r="128" spans="3:18" x14ac:dyDescent="0.35">
      <c r="C128" s="9" t="s">
        <v>126</v>
      </c>
      <c r="D128" s="16">
        <v>92</v>
      </c>
      <c r="E128" s="8">
        <v>1937.645</v>
      </c>
      <c r="F128" s="8">
        <v>8464</v>
      </c>
      <c r="G128" s="8">
        <v>0</v>
      </c>
      <c r="H128" s="8">
        <v>0</v>
      </c>
      <c r="I128" s="8">
        <v>0</v>
      </c>
      <c r="J128" s="8">
        <v>0</v>
      </c>
      <c r="K128" s="8">
        <v>0</v>
      </c>
      <c r="L128" s="8">
        <v>0</v>
      </c>
      <c r="M128" s="8">
        <v>0</v>
      </c>
      <c r="N128" s="8">
        <v>1</v>
      </c>
      <c r="O128" s="8">
        <v>0</v>
      </c>
      <c r="P128" s="8">
        <v>0</v>
      </c>
      <c r="Q128" s="8">
        <v>0</v>
      </c>
      <c r="R128" s="8">
        <v>0</v>
      </c>
    </row>
    <row r="129" spans="3:18" x14ac:dyDescent="0.35">
      <c r="C129" s="9" t="s">
        <v>127</v>
      </c>
      <c r="D129" s="16">
        <v>93</v>
      </c>
      <c r="E129" s="8">
        <v>1684.597</v>
      </c>
      <c r="F129" s="8">
        <v>8649</v>
      </c>
      <c r="G129" s="8">
        <v>0</v>
      </c>
      <c r="H129" s="8">
        <v>0</v>
      </c>
      <c r="I129" s="8">
        <v>0</v>
      </c>
      <c r="J129" s="8">
        <v>0</v>
      </c>
      <c r="K129" s="8">
        <v>0</v>
      </c>
      <c r="L129" s="8">
        <v>0</v>
      </c>
      <c r="M129" s="8">
        <v>0</v>
      </c>
      <c r="N129" s="8">
        <v>0</v>
      </c>
      <c r="O129" s="8">
        <v>1</v>
      </c>
      <c r="P129" s="8">
        <v>0</v>
      </c>
      <c r="Q129" s="8">
        <v>0</v>
      </c>
      <c r="R129" s="8">
        <v>0</v>
      </c>
    </row>
    <row r="130" spans="3:18" x14ac:dyDescent="0.35">
      <c r="C130" s="9" t="s">
        <v>128</v>
      </c>
      <c r="D130" s="16">
        <v>94</v>
      </c>
      <c r="E130" s="8">
        <v>1803.4739999999999</v>
      </c>
      <c r="F130" s="8">
        <v>8836</v>
      </c>
      <c r="G130" s="8">
        <v>0</v>
      </c>
      <c r="H130" s="8">
        <v>0</v>
      </c>
      <c r="I130" s="8">
        <v>0</v>
      </c>
      <c r="J130" s="8">
        <v>0</v>
      </c>
      <c r="K130" s="8">
        <v>0</v>
      </c>
      <c r="L130" s="8">
        <v>0</v>
      </c>
      <c r="M130" s="8">
        <v>0</v>
      </c>
      <c r="N130" s="8">
        <v>0</v>
      </c>
      <c r="O130" s="8">
        <v>0</v>
      </c>
      <c r="P130" s="8">
        <v>1</v>
      </c>
      <c r="Q130" s="8">
        <v>0</v>
      </c>
      <c r="R130" s="8">
        <v>0</v>
      </c>
    </row>
    <row r="131" spans="3:18" x14ac:dyDescent="0.35">
      <c r="C131" s="9" t="s">
        <v>129</v>
      </c>
      <c r="D131" s="16">
        <v>95</v>
      </c>
      <c r="E131" s="8">
        <v>1828.7139999999999</v>
      </c>
      <c r="F131" s="8">
        <v>9025</v>
      </c>
      <c r="G131" s="8">
        <v>0</v>
      </c>
      <c r="H131" s="8">
        <v>0</v>
      </c>
      <c r="I131" s="8">
        <v>0</v>
      </c>
      <c r="J131" s="8">
        <v>0</v>
      </c>
      <c r="K131" s="8">
        <v>0</v>
      </c>
      <c r="L131" s="8">
        <v>0</v>
      </c>
      <c r="M131" s="8">
        <v>0</v>
      </c>
      <c r="N131" s="8">
        <v>0</v>
      </c>
      <c r="O131" s="8">
        <v>0</v>
      </c>
      <c r="P131" s="8">
        <v>0</v>
      </c>
      <c r="Q131" s="8">
        <v>1</v>
      </c>
      <c r="R131" s="8">
        <v>0</v>
      </c>
    </row>
    <row r="132" spans="3:18" x14ac:dyDescent="0.35">
      <c r="C132" s="9" t="s">
        <v>130</v>
      </c>
      <c r="D132" s="16">
        <v>96</v>
      </c>
      <c r="E132" s="8">
        <v>1860.7539999999999</v>
      </c>
      <c r="F132" s="8">
        <v>9216</v>
      </c>
      <c r="G132" s="8">
        <v>0</v>
      </c>
      <c r="H132" s="8">
        <v>0</v>
      </c>
      <c r="I132" s="8">
        <v>0</v>
      </c>
      <c r="J132" s="8">
        <v>0</v>
      </c>
      <c r="K132" s="8">
        <v>0</v>
      </c>
      <c r="L132" s="8">
        <v>0</v>
      </c>
      <c r="M132" s="8">
        <v>0</v>
      </c>
      <c r="N132" s="8">
        <v>0</v>
      </c>
      <c r="O132" s="8">
        <v>0</v>
      </c>
      <c r="P132" s="8">
        <v>0</v>
      </c>
      <c r="Q132" s="8">
        <v>0</v>
      </c>
      <c r="R132" s="8">
        <v>1</v>
      </c>
    </row>
    <row r="133" spans="3:18" x14ac:dyDescent="0.35">
      <c r="C133" s="9" t="s">
        <v>131</v>
      </c>
      <c r="D133" s="16">
        <v>97</v>
      </c>
      <c r="E133" s="8">
        <v>1614.4269999999999</v>
      </c>
      <c r="F133" s="8">
        <v>9409</v>
      </c>
      <c r="G133" s="8">
        <v>1</v>
      </c>
      <c r="H133" s="8">
        <v>0</v>
      </c>
      <c r="I133" s="8">
        <v>0</v>
      </c>
      <c r="J133" s="8">
        <v>0</v>
      </c>
      <c r="K133" s="8">
        <v>0</v>
      </c>
      <c r="L133" s="8">
        <v>0</v>
      </c>
      <c r="M133" s="8">
        <v>0</v>
      </c>
      <c r="N133" s="8">
        <v>0</v>
      </c>
      <c r="O133" s="8">
        <v>0</v>
      </c>
      <c r="P133" s="8">
        <v>0</v>
      </c>
      <c r="Q133" s="8">
        <v>0</v>
      </c>
      <c r="R133" s="8">
        <v>0</v>
      </c>
    </row>
    <row r="134" spans="3:18" x14ac:dyDescent="0.35">
      <c r="C134" s="9" t="s">
        <v>132</v>
      </c>
      <c r="D134" s="16">
        <v>98</v>
      </c>
      <c r="E134" s="8">
        <v>1561.8040000000001</v>
      </c>
      <c r="F134" s="8">
        <v>9604</v>
      </c>
      <c r="G134" s="8">
        <v>0</v>
      </c>
      <c r="H134" s="8">
        <v>1</v>
      </c>
      <c r="I134" s="8">
        <v>0</v>
      </c>
      <c r="J134" s="8">
        <v>0</v>
      </c>
      <c r="K134" s="8">
        <v>0</v>
      </c>
      <c r="L134" s="8">
        <v>0</v>
      </c>
      <c r="M134" s="8">
        <v>0</v>
      </c>
      <c r="N134" s="8">
        <v>0</v>
      </c>
      <c r="O134" s="8">
        <v>0</v>
      </c>
      <c r="P134" s="8">
        <v>0</v>
      </c>
      <c r="Q134" s="8">
        <v>0</v>
      </c>
      <c r="R134" s="8">
        <v>0</v>
      </c>
    </row>
    <row r="135" spans="3:18" x14ac:dyDescent="0.35">
      <c r="C135" s="9" t="s">
        <v>133</v>
      </c>
      <c r="D135" s="16">
        <v>99</v>
      </c>
      <c r="E135" s="8">
        <v>1848.3330000000001</v>
      </c>
      <c r="F135" s="8">
        <v>9801</v>
      </c>
      <c r="G135" s="8">
        <v>0</v>
      </c>
      <c r="H135" s="8">
        <v>0</v>
      </c>
      <c r="I135" s="8">
        <v>1</v>
      </c>
      <c r="J135" s="8">
        <v>0</v>
      </c>
      <c r="K135" s="8">
        <v>0</v>
      </c>
      <c r="L135" s="8">
        <v>0</v>
      </c>
      <c r="M135" s="8">
        <v>0</v>
      </c>
      <c r="N135" s="8">
        <v>0</v>
      </c>
      <c r="O135" s="8">
        <v>0</v>
      </c>
      <c r="P135" s="8">
        <v>0</v>
      </c>
      <c r="Q135" s="8">
        <v>0</v>
      </c>
      <c r="R135" s="8">
        <v>0</v>
      </c>
    </row>
    <row r="136" spans="3:18" x14ac:dyDescent="0.35">
      <c r="C136" s="9" t="s">
        <v>134</v>
      </c>
      <c r="D136" s="16">
        <v>100</v>
      </c>
      <c r="E136" s="8">
        <v>1853.72</v>
      </c>
      <c r="F136" s="8">
        <v>10000</v>
      </c>
      <c r="G136" s="8">
        <v>0</v>
      </c>
      <c r="H136" s="8">
        <v>0</v>
      </c>
      <c r="I136" s="8">
        <v>0</v>
      </c>
      <c r="J136" s="8">
        <v>1</v>
      </c>
      <c r="K136" s="8">
        <v>0</v>
      </c>
      <c r="L136" s="8">
        <v>0</v>
      </c>
      <c r="M136" s="8">
        <v>0</v>
      </c>
      <c r="N136" s="8">
        <v>0</v>
      </c>
      <c r="O136" s="8">
        <v>0</v>
      </c>
      <c r="P136" s="8">
        <v>0</v>
      </c>
      <c r="Q136" s="8">
        <v>0</v>
      </c>
      <c r="R136" s="8">
        <v>0</v>
      </c>
    </row>
    <row r="137" spans="3:18" x14ac:dyDescent="0.35">
      <c r="C137" s="9" t="s">
        <v>135</v>
      </c>
      <c r="D137" s="16">
        <v>101</v>
      </c>
      <c r="E137" s="8">
        <v>1858.498</v>
      </c>
      <c r="F137" s="8">
        <v>10201</v>
      </c>
      <c r="G137" s="8">
        <v>0</v>
      </c>
      <c r="H137" s="8">
        <v>0</v>
      </c>
      <c r="I137" s="8">
        <v>0</v>
      </c>
      <c r="J137" s="8">
        <v>0</v>
      </c>
      <c r="K137" s="8">
        <v>1</v>
      </c>
      <c r="L137" s="8">
        <v>0</v>
      </c>
      <c r="M137" s="8">
        <v>0</v>
      </c>
      <c r="N137" s="8">
        <v>0</v>
      </c>
      <c r="O137" s="8">
        <v>0</v>
      </c>
      <c r="P137" s="8">
        <v>0</v>
      </c>
      <c r="Q137" s="8">
        <v>0</v>
      </c>
      <c r="R137" s="8">
        <v>0</v>
      </c>
    </row>
    <row r="138" spans="3:18" x14ac:dyDescent="0.35">
      <c r="C138" s="9" t="s">
        <v>136</v>
      </c>
      <c r="D138" s="16">
        <v>102</v>
      </c>
      <c r="E138" s="8">
        <v>1876.8520000000001</v>
      </c>
      <c r="F138" s="8">
        <v>10404</v>
      </c>
      <c r="G138" s="8">
        <v>0</v>
      </c>
      <c r="H138" s="8">
        <v>0</v>
      </c>
      <c r="I138" s="8">
        <v>0</v>
      </c>
      <c r="J138" s="8">
        <v>0</v>
      </c>
      <c r="K138" s="8">
        <v>0</v>
      </c>
      <c r="L138" s="8">
        <v>1</v>
      </c>
      <c r="M138" s="8">
        <v>0</v>
      </c>
      <c r="N138" s="8">
        <v>0</v>
      </c>
      <c r="O138" s="8">
        <v>0</v>
      </c>
      <c r="P138" s="8">
        <v>0</v>
      </c>
      <c r="Q138" s="8">
        <v>0</v>
      </c>
      <c r="R138" s="8">
        <v>0</v>
      </c>
    </row>
    <row r="139" spans="3:18" x14ac:dyDescent="0.35">
      <c r="C139" s="9" t="s">
        <v>137</v>
      </c>
      <c r="D139" s="16">
        <v>103</v>
      </c>
      <c r="E139" s="8">
        <v>1982.7429999999999</v>
      </c>
      <c r="F139" s="8">
        <v>10609</v>
      </c>
      <c r="G139" s="8">
        <v>0</v>
      </c>
      <c r="H139" s="8">
        <v>0</v>
      </c>
      <c r="I139" s="8">
        <v>0</v>
      </c>
      <c r="J139" s="8">
        <v>0</v>
      </c>
      <c r="K139" s="8">
        <v>0</v>
      </c>
      <c r="L139" s="8">
        <v>0</v>
      </c>
      <c r="M139" s="8">
        <v>1</v>
      </c>
      <c r="N139" s="8">
        <v>0</v>
      </c>
      <c r="O139" s="8">
        <v>0</v>
      </c>
      <c r="P139" s="8">
        <v>0</v>
      </c>
      <c r="Q139" s="8">
        <v>0</v>
      </c>
      <c r="R139" s="8">
        <v>0</v>
      </c>
    </row>
    <row r="140" spans="3:18" x14ac:dyDescent="0.35">
      <c r="C140" s="9" t="s">
        <v>138</v>
      </c>
      <c r="D140" s="16">
        <v>104</v>
      </c>
      <c r="E140" s="8">
        <v>1965.002</v>
      </c>
      <c r="F140" s="8">
        <v>10816</v>
      </c>
      <c r="G140" s="8">
        <v>0</v>
      </c>
      <c r="H140" s="8">
        <v>0</v>
      </c>
      <c r="I140" s="8">
        <v>0</v>
      </c>
      <c r="J140" s="8">
        <v>0</v>
      </c>
      <c r="K140" s="8">
        <v>0</v>
      </c>
      <c r="L140" s="8">
        <v>0</v>
      </c>
      <c r="M140" s="8">
        <v>0</v>
      </c>
      <c r="N140" s="8">
        <v>1</v>
      </c>
      <c r="O140" s="8">
        <v>0</v>
      </c>
      <c r="P140" s="8">
        <v>0</v>
      </c>
      <c r="Q140" s="8">
        <v>0</v>
      </c>
      <c r="R140" s="8">
        <v>0</v>
      </c>
    </row>
    <row r="141" spans="3:18" x14ac:dyDescent="0.35">
      <c r="C141" s="9" t="s">
        <v>139</v>
      </c>
      <c r="D141" s="16">
        <v>105</v>
      </c>
      <c r="E141" s="8">
        <v>1622.373</v>
      </c>
      <c r="F141" s="8">
        <v>11025</v>
      </c>
      <c r="G141" s="8">
        <v>0</v>
      </c>
      <c r="H141" s="8">
        <v>0</v>
      </c>
      <c r="I141" s="8">
        <v>0</v>
      </c>
      <c r="J141" s="8">
        <v>0</v>
      </c>
      <c r="K141" s="8">
        <v>0</v>
      </c>
      <c r="L141" s="8">
        <v>0</v>
      </c>
      <c r="M141" s="8">
        <v>0</v>
      </c>
      <c r="N141" s="8">
        <v>0</v>
      </c>
      <c r="O141" s="8">
        <v>1</v>
      </c>
      <c r="P141" s="8">
        <v>0</v>
      </c>
      <c r="Q141" s="8">
        <v>0</v>
      </c>
      <c r="R141" s="8">
        <v>0</v>
      </c>
    </row>
    <row r="142" spans="3:18" x14ac:dyDescent="0.35">
      <c r="C142" s="9" t="s">
        <v>140</v>
      </c>
      <c r="D142" s="16">
        <v>106</v>
      </c>
      <c r="E142" s="8">
        <v>1819.664</v>
      </c>
      <c r="F142" s="8">
        <v>11236</v>
      </c>
      <c r="G142" s="8">
        <v>0</v>
      </c>
      <c r="H142" s="8">
        <v>0</v>
      </c>
      <c r="I142" s="8">
        <v>0</v>
      </c>
      <c r="J142" s="8">
        <v>0</v>
      </c>
      <c r="K142" s="8">
        <v>0</v>
      </c>
      <c r="L142" s="8">
        <v>0</v>
      </c>
      <c r="M142" s="8">
        <v>0</v>
      </c>
      <c r="N142" s="8">
        <v>0</v>
      </c>
      <c r="O142" s="8">
        <v>0</v>
      </c>
      <c r="P142" s="8">
        <v>1</v>
      </c>
      <c r="Q142" s="8">
        <v>0</v>
      </c>
      <c r="R142" s="8">
        <v>0</v>
      </c>
    </row>
    <row r="143" spans="3:18" x14ac:dyDescent="0.35">
      <c r="C143" s="9" t="s">
        <v>141</v>
      </c>
      <c r="D143" s="16">
        <v>107</v>
      </c>
      <c r="E143" s="8">
        <v>1864.309</v>
      </c>
      <c r="F143" s="8">
        <v>11449</v>
      </c>
      <c r="G143" s="8">
        <v>0</v>
      </c>
      <c r="H143" s="8">
        <v>0</v>
      </c>
      <c r="I143" s="8">
        <v>0</v>
      </c>
      <c r="J143" s="8">
        <v>0</v>
      </c>
      <c r="K143" s="8">
        <v>0</v>
      </c>
      <c r="L143" s="8">
        <v>0</v>
      </c>
      <c r="M143" s="8">
        <v>0</v>
      </c>
      <c r="N143" s="8">
        <v>0</v>
      </c>
      <c r="O143" s="8">
        <v>0</v>
      </c>
      <c r="P143" s="8">
        <v>0</v>
      </c>
      <c r="Q143" s="8">
        <v>1</v>
      </c>
      <c r="R143" s="8">
        <v>0</v>
      </c>
    </row>
    <row r="144" spans="3:18" x14ac:dyDescent="0.35">
      <c r="C144" s="9" t="s">
        <v>142</v>
      </c>
      <c r="D144" s="16">
        <v>108</v>
      </c>
      <c r="E144" s="8">
        <v>1851.4349999999999</v>
      </c>
      <c r="F144" s="8">
        <v>11664</v>
      </c>
      <c r="G144" s="8">
        <v>0</v>
      </c>
      <c r="H144" s="8">
        <v>0</v>
      </c>
      <c r="I144" s="8">
        <v>0</v>
      </c>
      <c r="J144" s="8">
        <v>0</v>
      </c>
      <c r="K144" s="8">
        <v>0</v>
      </c>
      <c r="L144" s="8">
        <v>0</v>
      </c>
      <c r="M144" s="8">
        <v>0</v>
      </c>
      <c r="N144" s="8">
        <v>0</v>
      </c>
      <c r="O144" s="8">
        <v>0</v>
      </c>
      <c r="P144" s="8">
        <v>0</v>
      </c>
      <c r="Q144" s="8">
        <v>0</v>
      </c>
      <c r="R144" s="8">
        <v>1</v>
      </c>
    </row>
    <row r="145" spans="3:18" x14ac:dyDescent="0.35">
      <c r="C145" s="9" t="s">
        <v>143</v>
      </c>
      <c r="D145" s="16">
        <v>109</v>
      </c>
      <c r="E145" s="8">
        <v>1558.66</v>
      </c>
      <c r="F145" s="8">
        <v>11881</v>
      </c>
      <c r="G145" s="8">
        <v>1</v>
      </c>
      <c r="H145" s="8">
        <v>0</v>
      </c>
      <c r="I145" s="8">
        <v>0</v>
      </c>
      <c r="J145" s="8">
        <v>0</v>
      </c>
      <c r="K145" s="8">
        <v>0</v>
      </c>
      <c r="L145" s="8">
        <v>0</v>
      </c>
      <c r="M145" s="8">
        <v>0</v>
      </c>
      <c r="N145" s="8">
        <v>0</v>
      </c>
      <c r="O145" s="8">
        <v>0</v>
      </c>
      <c r="P145" s="8">
        <v>0</v>
      </c>
      <c r="Q145" s="8">
        <v>0</v>
      </c>
      <c r="R145" s="8">
        <v>0</v>
      </c>
    </row>
    <row r="146" spans="3:18" x14ac:dyDescent="0.35">
      <c r="C146" s="9" t="s">
        <v>144</v>
      </c>
      <c r="D146" s="16">
        <v>110</v>
      </c>
      <c r="E146" s="8">
        <v>1628.9280000000001</v>
      </c>
      <c r="F146" s="8">
        <v>12100</v>
      </c>
      <c r="G146" s="8">
        <v>0</v>
      </c>
      <c r="H146" s="8">
        <v>1</v>
      </c>
      <c r="I146" s="8">
        <v>0</v>
      </c>
      <c r="J146" s="8">
        <v>0</v>
      </c>
      <c r="K146" s="8">
        <v>0</v>
      </c>
      <c r="L146" s="8">
        <v>0</v>
      </c>
      <c r="M146" s="8">
        <v>0</v>
      </c>
      <c r="N146" s="8">
        <v>0</v>
      </c>
      <c r="O146" s="8">
        <v>0</v>
      </c>
      <c r="P146" s="8">
        <v>0</v>
      </c>
      <c r="Q146" s="8">
        <v>0</v>
      </c>
      <c r="R146" s="8">
        <v>0</v>
      </c>
    </row>
    <row r="147" spans="3:18" x14ac:dyDescent="0.35">
      <c r="C147" s="9" t="s">
        <v>145</v>
      </c>
      <c r="D147" s="16">
        <v>111</v>
      </c>
      <c r="E147" s="8">
        <v>1931.538</v>
      </c>
      <c r="F147" s="8">
        <v>12321</v>
      </c>
      <c r="G147" s="8">
        <v>0</v>
      </c>
      <c r="H147" s="8">
        <v>0</v>
      </c>
      <c r="I147" s="8">
        <v>1</v>
      </c>
      <c r="J147" s="8">
        <v>0</v>
      </c>
      <c r="K147" s="8">
        <v>0</v>
      </c>
      <c r="L147" s="8">
        <v>0</v>
      </c>
      <c r="M147" s="8">
        <v>0</v>
      </c>
      <c r="N147" s="8">
        <v>0</v>
      </c>
      <c r="O147" s="8">
        <v>0</v>
      </c>
      <c r="P147" s="8">
        <v>0</v>
      </c>
      <c r="Q147" s="8">
        <v>0</v>
      </c>
      <c r="R147" s="8">
        <v>0</v>
      </c>
    </row>
    <row r="148" spans="3:18" x14ac:dyDescent="0.35">
      <c r="C148" s="9" t="s">
        <v>146</v>
      </c>
      <c r="D148" s="16">
        <v>112</v>
      </c>
      <c r="E148" s="8">
        <v>1988.4929999999999</v>
      </c>
      <c r="F148" s="8">
        <v>12544</v>
      </c>
      <c r="G148" s="8">
        <v>0</v>
      </c>
      <c r="H148" s="8">
        <v>0</v>
      </c>
      <c r="I148" s="8">
        <v>0</v>
      </c>
      <c r="J148" s="8">
        <v>1</v>
      </c>
      <c r="K148" s="8">
        <v>0</v>
      </c>
      <c r="L148" s="8">
        <v>0</v>
      </c>
      <c r="M148" s="8">
        <v>0</v>
      </c>
      <c r="N148" s="8">
        <v>0</v>
      </c>
      <c r="O148" s="8">
        <v>0</v>
      </c>
      <c r="P148" s="8">
        <v>0</v>
      </c>
      <c r="Q148" s="8">
        <v>0</v>
      </c>
      <c r="R148" s="8">
        <v>0</v>
      </c>
    </row>
    <row r="149" spans="3:18" x14ac:dyDescent="0.35">
      <c r="C149" s="9" t="s">
        <v>147</v>
      </c>
      <c r="D149" s="16">
        <v>113</v>
      </c>
      <c r="E149" s="8">
        <v>2004.3009999999999</v>
      </c>
      <c r="F149" s="8">
        <v>12769</v>
      </c>
      <c r="G149" s="8">
        <v>0</v>
      </c>
      <c r="H149" s="8">
        <v>0</v>
      </c>
      <c r="I149" s="8">
        <v>0</v>
      </c>
      <c r="J149" s="8">
        <v>0</v>
      </c>
      <c r="K149" s="8">
        <v>1</v>
      </c>
      <c r="L149" s="8">
        <v>0</v>
      </c>
      <c r="M149" s="8">
        <v>0</v>
      </c>
      <c r="N149" s="8">
        <v>0</v>
      </c>
      <c r="O149" s="8">
        <v>0</v>
      </c>
      <c r="P149" s="8">
        <v>0</v>
      </c>
      <c r="Q149" s="8">
        <v>0</v>
      </c>
      <c r="R149" s="8">
        <v>0</v>
      </c>
    </row>
    <row r="150" spans="3:18" x14ac:dyDescent="0.35">
      <c r="C150" s="9" t="s">
        <v>148</v>
      </c>
      <c r="D150" s="16">
        <v>114</v>
      </c>
      <c r="E150" s="8">
        <v>2024.7629999999999</v>
      </c>
      <c r="F150" s="8">
        <v>12996</v>
      </c>
      <c r="G150" s="8">
        <v>0</v>
      </c>
      <c r="H150" s="8">
        <v>0</v>
      </c>
      <c r="I150" s="8">
        <v>0</v>
      </c>
      <c r="J150" s="8">
        <v>0</v>
      </c>
      <c r="K150" s="8">
        <v>0</v>
      </c>
      <c r="L150" s="8">
        <v>1</v>
      </c>
      <c r="M150" s="8">
        <v>0</v>
      </c>
      <c r="N150" s="8">
        <v>0</v>
      </c>
      <c r="O150" s="8">
        <v>0</v>
      </c>
      <c r="P150" s="8">
        <v>0</v>
      </c>
      <c r="Q150" s="8">
        <v>0</v>
      </c>
      <c r="R150" s="8">
        <v>0</v>
      </c>
    </row>
    <row r="151" spans="3:18" x14ac:dyDescent="0.35">
      <c r="C151" s="9" t="s">
        <v>149</v>
      </c>
      <c r="D151" s="16">
        <v>115</v>
      </c>
      <c r="E151" s="8">
        <v>2065.9960000000001</v>
      </c>
      <c r="F151" s="8">
        <v>13225</v>
      </c>
      <c r="G151" s="8">
        <v>0</v>
      </c>
      <c r="H151" s="8">
        <v>0</v>
      </c>
      <c r="I151" s="8">
        <v>0</v>
      </c>
      <c r="J151" s="8">
        <v>0</v>
      </c>
      <c r="K151" s="8">
        <v>0</v>
      </c>
      <c r="L151" s="8">
        <v>0</v>
      </c>
      <c r="M151" s="8">
        <v>1</v>
      </c>
      <c r="N151" s="8">
        <v>0</v>
      </c>
      <c r="O151" s="8">
        <v>0</v>
      </c>
      <c r="P151" s="8">
        <v>0</v>
      </c>
      <c r="Q151" s="8">
        <v>0</v>
      </c>
      <c r="R151" s="8">
        <v>0</v>
      </c>
    </row>
    <row r="152" spans="3:18" x14ac:dyDescent="0.35">
      <c r="C152" s="9" t="s">
        <v>150</v>
      </c>
      <c r="D152" s="16">
        <v>116</v>
      </c>
      <c r="E152" s="8">
        <v>2110.471</v>
      </c>
      <c r="F152" s="8">
        <v>13456</v>
      </c>
      <c r="G152" s="8">
        <v>0</v>
      </c>
      <c r="H152" s="8">
        <v>0</v>
      </c>
      <c r="I152" s="8">
        <v>0</v>
      </c>
      <c r="J152" s="8">
        <v>0</v>
      </c>
      <c r="K152" s="8">
        <v>0</v>
      </c>
      <c r="L152" s="8">
        <v>0</v>
      </c>
      <c r="M152" s="8">
        <v>0</v>
      </c>
      <c r="N152" s="8">
        <v>1</v>
      </c>
      <c r="O152" s="8">
        <v>0</v>
      </c>
      <c r="P152" s="8">
        <v>0</v>
      </c>
      <c r="Q152" s="8">
        <v>0</v>
      </c>
      <c r="R152" s="8">
        <v>0</v>
      </c>
    </row>
    <row r="153" spans="3:18" x14ac:dyDescent="0.35">
      <c r="C153" s="9" t="s">
        <v>151</v>
      </c>
      <c r="D153" s="16">
        <v>117</v>
      </c>
      <c r="E153" s="8">
        <v>1838.7059999999999</v>
      </c>
      <c r="F153" s="8">
        <v>13689</v>
      </c>
      <c r="G153" s="8">
        <v>0</v>
      </c>
      <c r="H153" s="8">
        <v>0</v>
      </c>
      <c r="I153" s="8">
        <v>0</v>
      </c>
      <c r="J153" s="8">
        <v>0</v>
      </c>
      <c r="K153" s="8">
        <v>0</v>
      </c>
      <c r="L153" s="8">
        <v>0</v>
      </c>
      <c r="M153" s="8">
        <v>0</v>
      </c>
      <c r="N153" s="8">
        <v>0</v>
      </c>
      <c r="O153" s="8">
        <v>1</v>
      </c>
      <c r="P153" s="8">
        <v>0</v>
      </c>
      <c r="Q153" s="8">
        <v>0</v>
      </c>
      <c r="R153" s="8">
        <v>0</v>
      </c>
    </row>
    <row r="154" spans="3:18" x14ac:dyDescent="0.35">
      <c r="C154" s="9" t="s">
        <v>152</v>
      </c>
      <c r="D154" s="16">
        <v>118</v>
      </c>
      <c r="E154" s="8">
        <v>1991.9970000000001</v>
      </c>
      <c r="F154" s="8">
        <v>13924</v>
      </c>
      <c r="G154" s="8">
        <v>0</v>
      </c>
      <c r="H154" s="8">
        <v>0</v>
      </c>
      <c r="I154" s="8">
        <v>0</v>
      </c>
      <c r="J154" s="8">
        <v>0</v>
      </c>
      <c r="K154" s="8">
        <v>0</v>
      </c>
      <c r="L154" s="8">
        <v>0</v>
      </c>
      <c r="M154" s="8">
        <v>0</v>
      </c>
      <c r="N154" s="8">
        <v>0</v>
      </c>
      <c r="O154" s="8">
        <v>0</v>
      </c>
      <c r="P154" s="8">
        <v>1</v>
      </c>
      <c r="Q154" s="8">
        <v>0</v>
      </c>
      <c r="R154" s="8">
        <v>0</v>
      </c>
    </row>
    <row r="155" spans="3:18" x14ac:dyDescent="0.35">
      <c r="C155" s="9" t="s">
        <v>153</v>
      </c>
      <c r="D155" s="16">
        <v>119</v>
      </c>
      <c r="E155" s="8">
        <v>1996.4079999999999</v>
      </c>
      <c r="F155" s="8">
        <v>14161</v>
      </c>
      <c r="G155" s="8">
        <v>0</v>
      </c>
      <c r="H155" s="8">
        <v>0</v>
      </c>
      <c r="I155" s="8">
        <v>0</v>
      </c>
      <c r="J155" s="8">
        <v>0</v>
      </c>
      <c r="K155" s="8">
        <v>0</v>
      </c>
      <c r="L155" s="8">
        <v>0</v>
      </c>
      <c r="M155" s="8">
        <v>0</v>
      </c>
      <c r="N155" s="8">
        <v>0</v>
      </c>
      <c r="O155" s="8">
        <v>0</v>
      </c>
      <c r="P155" s="8">
        <v>0</v>
      </c>
      <c r="Q155" s="8">
        <v>1</v>
      </c>
      <c r="R155" s="8">
        <v>0</v>
      </c>
    </row>
    <row r="156" spans="3:18" x14ac:dyDescent="0.35">
      <c r="C156" s="9" t="s">
        <v>154</v>
      </c>
      <c r="D156" s="16">
        <v>120</v>
      </c>
      <c r="E156" s="8">
        <v>2015.153</v>
      </c>
      <c r="F156" s="8">
        <v>14400</v>
      </c>
      <c r="G156" s="8">
        <v>0</v>
      </c>
      <c r="H156" s="8">
        <v>0</v>
      </c>
      <c r="I156" s="8">
        <v>0</v>
      </c>
      <c r="J156" s="8">
        <v>0</v>
      </c>
      <c r="K156" s="8">
        <v>0</v>
      </c>
      <c r="L156" s="8">
        <v>0</v>
      </c>
      <c r="M156" s="8">
        <v>0</v>
      </c>
      <c r="N156" s="8">
        <v>0</v>
      </c>
      <c r="O156" s="8">
        <v>0</v>
      </c>
      <c r="P156" s="8">
        <v>0</v>
      </c>
      <c r="Q156" s="8">
        <v>0</v>
      </c>
      <c r="R156" s="8">
        <v>1</v>
      </c>
    </row>
    <row r="157" spans="3:18" x14ac:dyDescent="0.35">
      <c r="C157" s="9" t="s">
        <v>155</v>
      </c>
      <c r="D157" s="16">
        <v>121</v>
      </c>
      <c r="E157" s="8">
        <v>1696.1479999999999</v>
      </c>
      <c r="F157" s="8">
        <v>14641</v>
      </c>
      <c r="G157" s="8">
        <v>1</v>
      </c>
      <c r="H157" s="8">
        <v>0</v>
      </c>
      <c r="I157" s="8">
        <v>0</v>
      </c>
      <c r="J157" s="8">
        <v>0</v>
      </c>
      <c r="K157" s="8">
        <v>0</v>
      </c>
      <c r="L157" s="8">
        <v>0</v>
      </c>
      <c r="M157" s="8">
        <v>0</v>
      </c>
      <c r="N157" s="8">
        <v>0</v>
      </c>
      <c r="O157" s="8">
        <v>0</v>
      </c>
      <c r="P157" s="8">
        <v>0</v>
      </c>
      <c r="Q157" s="8">
        <v>0</v>
      </c>
      <c r="R157" s="8">
        <v>0</v>
      </c>
    </row>
    <row r="158" spans="3:18" x14ac:dyDescent="0.35">
      <c r="C158" s="9" t="s">
        <v>156</v>
      </c>
      <c r="D158" s="16">
        <v>122</v>
      </c>
      <c r="E158" s="8">
        <v>1675.404</v>
      </c>
      <c r="F158" s="8">
        <v>14884</v>
      </c>
      <c r="G158" s="8">
        <v>0</v>
      </c>
      <c r="H158" s="8">
        <v>1</v>
      </c>
      <c r="I158" s="8">
        <v>0</v>
      </c>
      <c r="J158" s="8">
        <v>0</v>
      </c>
      <c r="K158" s="8">
        <v>0</v>
      </c>
      <c r="L158" s="8">
        <v>0</v>
      </c>
      <c r="M158" s="8">
        <v>0</v>
      </c>
      <c r="N158" s="8">
        <v>0</v>
      </c>
      <c r="O158" s="8">
        <v>0</v>
      </c>
      <c r="P158" s="8">
        <v>0</v>
      </c>
      <c r="Q158" s="8">
        <v>0</v>
      </c>
      <c r="R158" s="8">
        <v>0</v>
      </c>
    </row>
    <row r="159" spans="3:18" x14ac:dyDescent="0.35">
      <c r="C159" s="9" t="s">
        <v>157</v>
      </c>
      <c r="D159" s="16">
        <v>123</v>
      </c>
      <c r="E159" s="8">
        <v>2021.9280000000001</v>
      </c>
      <c r="F159" s="8">
        <v>15129</v>
      </c>
      <c r="G159" s="8">
        <v>0</v>
      </c>
      <c r="H159" s="8">
        <v>0</v>
      </c>
      <c r="I159" s="8">
        <v>1</v>
      </c>
      <c r="J159" s="8">
        <v>0</v>
      </c>
      <c r="K159" s="8">
        <v>0</v>
      </c>
      <c r="L159" s="8">
        <v>0</v>
      </c>
      <c r="M159" s="8">
        <v>0</v>
      </c>
      <c r="N159" s="8">
        <v>0</v>
      </c>
      <c r="O159" s="8">
        <v>0</v>
      </c>
      <c r="P159" s="8">
        <v>0</v>
      </c>
      <c r="Q159" s="8">
        <v>0</v>
      </c>
      <c r="R159" s="8">
        <v>0</v>
      </c>
    </row>
    <row r="160" spans="3:18" x14ac:dyDescent="0.35">
      <c r="C160" s="9" t="s">
        <v>158</v>
      </c>
      <c r="D160" s="16">
        <v>124</v>
      </c>
      <c r="E160" s="8">
        <v>2035.7919999999999</v>
      </c>
      <c r="F160" s="8">
        <v>15376</v>
      </c>
      <c r="G160" s="8">
        <v>0</v>
      </c>
      <c r="H160" s="8">
        <v>0</v>
      </c>
      <c r="I160" s="8">
        <v>0</v>
      </c>
      <c r="J160" s="8">
        <v>1</v>
      </c>
      <c r="K160" s="8">
        <v>0</v>
      </c>
      <c r="L160" s="8">
        <v>0</v>
      </c>
      <c r="M160" s="8">
        <v>0</v>
      </c>
      <c r="N160" s="8">
        <v>0</v>
      </c>
      <c r="O160" s="8">
        <v>0</v>
      </c>
      <c r="P160" s="8">
        <v>0</v>
      </c>
      <c r="Q160" s="8">
        <v>0</v>
      </c>
      <c r="R160" s="8">
        <v>0</v>
      </c>
    </row>
    <row r="161" spans="3:18" x14ac:dyDescent="0.35">
      <c r="C161" s="9" t="s">
        <v>159</v>
      </c>
      <c r="D161" s="16">
        <v>125</v>
      </c>
      <c r="E161" s="8">
        <v>2060.0079999999998</v>
      </c>
      <c r="F161" s="8">
        <v>15625</v>
      </c>
      <c r="G161" s="8">
        <v>0</v>
      </c>
      <c r="H161" s="8">
        <v>0</v>
      </c>
      <c r="I161" s="8">
        <v>0</v>
      </c>
      <c r="J161" s="8">
        <v>0</v>
      </c>
      <c r="K161" s="8">
        <v>1</v>
      </c>
      <c r="L161" s="8">
        <v>0</v>
      </c>
      <c r="M161" s="8">
        <v>0</v>
      </c>
      <c r="N161" s="8">
        <v>0</v>
      </c>
      <c r="O161" s="8">
        <v>0</v>
      </c>
      <c r="P161" s="8">
        <v>0</v>
      </c>
      <c r="Q161" s="8">
        <v>0</v>
      </c>
      <c r="R161" s="8">
        <v>0</v>
      </c>
    </row>
    <row r="162" spans="3:18" x14ac:dyDescent="0.35">
      <c r="C162" s="9" t="s">
        <v>160</v>
      </c>
      <c r="D162" s="16">
        <v>126</v>
      </c>
      <c r="E162" s="8">
        <v>2086.913</v>
      </c>
      <c r="F162" s="8">
        <v>15876</v>
      </c>
      <c r="G162" s="8">
        <v>0</v>
      </c>
      <c r="H162" s="8">
        <v>0</v>
      </c>
      <c r="I162" s="8">
        <v>0</v>
      </c>
      <c r="J162" s="8">
        <v>0</v>
      </c>
      <c r="K162" s="8">
        <v>0</v>
      </c>
      <c r="L162" s="8">
        <v>1</v>
      </c>
      <c r="M162" s="8">
        <v>0</v>
      </c>
      <c r="N162" s="8">
        <v>0</v>
      </c>
      <c r="O162" s="8">
        <v>0</v>
      </c>
      <c r="P162" s="8">
        <v>0</v>
      </c>
      <c r="Q162" s="8">
        <v>0</v>
      </c>
      <c r="R162" s="8">
        <v>0</v>
      </c>
    </row>
    <row r="163" spans="3:18" x14ac:dyDescent="0.35">
      <c r="C163" s="9" t="s">
        <v>161</v>
      </c>
      <c r="D163" s="16">
        <v>127</v>
      </c>
      <c r="E163" s="8">
        <v>2140.7170000000001</v>
      </c>
      <c r="F163" s="8">
        <v>16129</v>
      </c>
      <c r="G163" s="8">
        <v>0</v>
      </c>
      <c r="H163" s="8">
        <v>0</v>
      </c>
      <c r="I163" s="8">
        <v>0</v>
      </c>
      <c r="J163" s="8">
        <v>0</v>
      </c>
      <c r="K163" s="8">
        <v>0</v>
      </c>
      <c r="L163" s="8">
        <v>0</v>
      </c>
      <c r="M163" s="8">
        <v>1</v>
      </c>
      <c r="N163" s="8">
        <v>0</v>
      </c>
      <c r="O163" s="8">
        <v>0</v>
      </c>
      <c r="P163" s="8">
        <v>0</v>
      </c>
      <c r="Q163" s="8">
        <v>0</v>
      </c>
      <c r="R163" s="8">
        <v>0</v>
      </c>
    </row>
    <row r="164" spans="3:18" x14ac:dyDescent="0.35">
      <c r="C164" s="9" t="s">
        <v>162</v>
      </c>
      <c r="D164" s="16">
        <v>128</v>
      </c>
      <c r="E164" s="8">
        <v>2219.6379999999999</v>
      </c>
      <c r="F164" s="8">
        <v>16384</v>
      </c>
      <c r="G164" s="8">
        <v>0</v>
      </c>
      <c r="H164" s="8">
        <v>0</v>
      </c>
      <c r="I164" s="8">
        <v>0</v>
      </c>
      <c r="J164" s="8">
        <v>0</v>
      </c>
      <c r="K164" s="8">
        <v>0</v>
      </c>
      <c r="L164" s="8">
        <v>0</v>
      </c>
      <c r="M164" s="8">
        <v>0</v>
      </c>
      <c r="N164" s="8">
        <v>1</v>
      </c>
      <c r="O164" s="8">
        <v>0</v>
      </c>
      <c r="P164" s="8">
        <v>0</v>
      </c>
      <c r="Q164" s="8">
        <v>0</v>
      </c>
      <c r="R164" s="8">
        <v>0</v>
      </c>
    </row>
    <row r="165" spans="3:18" x14ac:dyDescent="0.35">
      <c r="C165" s="9" t="s">
        <v>163</v>
      </c>
      <c r="D165" s="16">
        <v>129</v>
      </c>
      <c r="E165" s="8">
        <v>1719.693</v>
      </c>
      <c r="F165" s="8">
        <v>16641</v>
      </c>
      <c r="G165" s="8">
        <v>0</v>
      </c>
      <c r="H165" s="8">
        <v>0</v>
      </c>
      <c r="I165" s="8">
        <v>0</v>
      </c>
      <c r="J165" s="8">
        <v>0</v>
      </c>
      <c r="K165" s="8">
        <v>0</v>
      </c>
      <c r="L165" s="8">
        <v>0</v>
      </c>
      <c r="M165" s="8">
        <v>0</v>
      </c>
      <c r="N165" s="8">
        <v>0</v>
      </c>
      <c r="O165" s="8">
        <v>1</v>
      </c>
      <c r="P165" s="8">
        <v>0</v>
      </c>
      <c r="Q165" s="8">
        <v>0</v>
      </c>
      <c r="R165" s="8">
        <v>0</v>
      </c>
    </row>
    <row r="166" spans="3:18" x14ac:dyDescent="0.35">
      <c r="C166" s="9" t="s">
        <v>164</v>
      </c>
      <c r="D166" s="16">
        <v>130</v>
      </c>
      <c r="E166" s="8">
        <v>1966.7159999999999</v>
      </c>
      <c r="F166" s="8">
        <v>16900</v>
      </c>
      <c r="G166" s="8">
        <v>0</v>
      </c>
      <c r="H166" s="8">
        <v>0</v>
      </c>
      <c r="I166" s="8">
        <v>0</v>
      </c>
      <c r="J166" s="8">
        <v>0</v>
      </c>
      <c r="K166" s="8">
        <v>0</v>
      </c>
      <c r="L166" s="8">
        <v>0</v>
      </c>
      <c r="M166" s="8">
        <v>0</v>
      </c>
      <c r="N166" s="8">
        <v>0</v>
      </c>
      <c r="O166" s="8">
        <v>0</v>
      </c>
      <c r="P166" s="8">
        <v>1</v>
      </c>
      <c r="Q166" s="8">
        <v>0</v>
      </c>
      <c r="R166" s="8">
        <v>0</v>
      </c>
    </row>
    <row r="167" spans="3:18" x14ac:dyDescent="0.35">
      <c r="C167" s="9" t="s">
        <v>165</v>
      </c>
      <c r="D167" s="16">
        <v>131</v>
      </c>
      <c r="E167" s="8">
        <v>1990.614</v>
      </c>
      <c r="F167" s="8">
        <v>17161</v>
      </c>
      <c r="G167" s="8">
        <v>0</v>
      </c>
      <c r="H167" s="8">
        <v>0</v>
      </c>
      <c r="I167" s="8">
        <v>0</v>
      </c>
      <c r="J167" s="8">
        <v>0</v>
      </c>
      <c r="K167" s="8">
        <v>0</v>
      </c>
      <c r="L167" s="8">
        <v>0</v>
      </c>
      <c r="M167" s="8">
        <v>0</v>
      </c>
      <c r="N167" s="8">
        <v>0</v>
      </c>
      <c r="O167" s="8">
        <v>0</v>
      </c>
      <c r="P167" s="8">
        <v>0</v>
      </c>
      <c r="Q167" s="8">
        <v>1</v>
      </c>
      <c r="R167" s="8">
        <v>0</v>
      </c>
    </row>
    <row r="168" spans="3:18" x14ac:dyDescent="0.35">
      <c r="C168" s="9" t="s">
        <v>166</v>
      </c>
      <c r="D168" s="16">
        <v>132</v>
      </c>
      <c r="E168" s="8">
        <v>2000.729</v>
      </c>
      <c r="F168" s="8">
        <v>17424</v>
      </c>
      <c r="G168" s="8">
        <v>0</v>
      </c>
      <c r="H168" s="8">
        <v>0</v>
      </c>
      <c r="I168" s="8">
        <v>0</v>
      </c>
      <c r="J168" s="8">
        <v>0</v>
      </c>
      <c r="K168" s="8">
        <v>0</v>
      </c>
      <c r="L168" s="8">
        <v>0</v>
      </c>
      <c r="M168" s="8">
        <v>0</v>
      </c>
      <c r="N168" s="8">
        <v>0</v>
      </c>
      <c r="O168" s="8">
        <v>0</v>
      </c>
      <c r="P168" s="8">
        <v>0</v>
      </c>
      <c r="Q168" s="8">
        <v>0</v>
      </c>
      <c r="R168" s="8">
        <v>1</v>
      </c>
    </row>
    <row r="169" spans="3:18" x14ac:dyDescent="0.35">
      <c r="C169" s="9" t="s">
        <v>167</v>
      </c>
      <c r="D169" s="16">
        <v>133</v>
      </c>
      <c r="E169" s="8">
        <v>1776.6289999999999</v>
      </c>
      <c r="F169" s="8">
        <v>17689</v>
      </c>
      <c r="G169" s="8">
        <v>1</v>
      </c>
      <c r="H169" s="8">
        <v>0</v>
      </c>
      <c r="I169" s="8">
        <v>0</v>
      </c>
      <c r="J169" s="8">
        <v>0</v>
      </c>
      <c r="K169" s="8">
        <v>0</v>
      </c>
      <c r="L169" s="8">
        <v>0</v>
      </c>
      <c r="M169" s="8">
        <v>0</v>
      </c>
      <c r="N169" s="8">
        <v>0</v>
      </c>
      <c r="O169" s="8">
        <v>0</v>
      </c>
      <c r="P169" s="8">
        <v>0</v>
      </c>
      <c r="Q169" s="8">
        <v>0</v>
      </c>
      <c r="R169" s="8">
        <v>0</v>
      </c>
    </row>
    <row r="170" spans="3:18" x14ac:dyDescent="0.35">
      <c r="C170" s="9" t="s">
        <v>168</v>
      </c>
      <c r="D170" s="16">
        <v>134</v>
      </c>
      <c r="E170" s="8">
        <v>1785.595</v>
      </c>
      <c r="F170" s="8">
        <v>17956</v>
      </c>
      <c r="G170" s="8">
        <v>0</v>
      </c>
      <c r="H170" s="8">
        <v>1</v>
      </c>
      <c r="I170" s="8">
        <v>0</v>
      </c>
      <c r="J170" s="8">
        <v>0</v>
      </c>
      <c r="K170" s="8">
        <v>0</v>
      </c>
      <c r="L170" s="8">
        <v>0</v>
      </c>
      <c r="M170" s="8">
        <v>0</v>
      </c>
      <c r="N170" s="8">
        <v>0</v>
      </c>
      <c r="O170" s="8">
        <v>0</v>
      </c>
      <c r="P170" s="8">
        <v>0</v>
      </c>
      <c r="Q170" s="8">
        <v>0</v>
      </c>
      <c r="R170" s="8">
        <v>0</v>
      </c>
    </row>
    <row r="171" spans="3:18" x14ac:dyDescent="0.35">
      <c r="C171" s="9" t="s">
        <v>169</v>
      </c>
      <c r="D171" s="16">
        <v>135</v>
      </c>
      <c r="E171" s="8">
        <v>2031.912</v>
      </c>
      <c r="F171" s="8">
        <v>18225</v>
      </c>
      <c r="G171" s="8">
        <v>0</v>
      </c>
      <c r="H171" s="8">
        <v>0</v>
      </c>
      <c r="I171" s="8">
        <v>1</v>
      </c>
      <c r="J171" s="8">
        <v>0</v>
      </c>
      <c r="K171" s="8">
        <v>0</v>
      </c>
      <c r="L171" s="8">
        <v>0</v>
      </c>
      <c r="M171" s="8">
        <v>0</v>
      </c>
      <c r="N171" s="8">
        <v>0</v>
      </c>
      <c r="O171" s="8">
        <v>0</v>
      </c>
      <c r="P171" s="8">
        <v>0</v>
      </c>
      <c r="Q171" s="8">
        <v>0</v>
      </c>
      <c r="R171" s="8">
        <v>0</v>
      </c>
    </row>
    <row r="172" spans="3:18" x14ac:dyDescent="0.35">
      <c r="C172" s="9" t="s">
        <v>170</v>
      </c>
      <c r="D172" s="16">
        <v>136</v>
      </c>
      <c r="E172" s="8">
        <v>2063.3980000000001</v>
      </c>
      <c r="F172" s="8">
        <v>18496</v>
      </c>
      <c r="G172" s="8">
        <v>0</v>
      </c>
      <c r="H172" s="8">
        <v>0</v>
      </c>
      <c r="I172" s="8">
        <v>0</v>
      </c>
      <c r="J172" s="8">
        <v>1</v>
      </c>
      <c r="K172" s="8">
        <v>0</v>
      </c>
      <c r="L172" s="8">
        <v>0</v>
      </c>
      <c r="M172" s="8">
        <v>0</v>
      </c>
      <c r="N172" s="8">
        <v>0</v>
      </c>
      <c r="O172" s="8">
        <v>0</v>
      </c>
      <c r="P172" s="8">
        <v>0</v>
      </c>
      <c r="Q172" s="8">
        <v>0</v>
      </c>
      <c r="R172" s="8">
        <v>0</v>
      </c>
    </row>
    <row r="173" spans="3:18" x14ac:dyDescent="0.35">
      <c r="C173" s="9" t="s">
        <v>171</v>
      </c>
      <c r="D173" s="16">
        <v>137</v>
      </c>
      <c r="E173" s="8">
        <v>2085.7629999999999</v>
      </c>
      <c r="F173" s="8">
        <v>18769</v>
      </c>
      <c r="G173" s="8">
        <v>0</v>
      </c>
      <c r="H173" s="8">
        <v>0</v>
      </c>
      <c r="I173" s="8">
        <v>0</v>
      </c>
      <c r="J173" s="8">
        <v>0</v>
      </c>
      <c r="K173" s="8">
        <v>1</v>
      </c>
      <c r="L173" s="8">
        <v>0</v>
      </c>
      <c r="M173" s="8">
        <v>0</v>
      </c>
      <c r="N173" s="8">
        <v>0</v>
      </c>
      <c r="O173" s="8">
        <v>0</v>
      </c>
      <c r="P173" s="8">
        <v>0</v>
      </c>
      <c r="Q173" s="8">
        <v>0</v>
      </c>
      <c r="R173" s="8">
        <v>0</v>
      </c>
    </row>
    <row r="174" spans="3:18" x14ac:dyDescent="0.35">
      <c r="C174" s="9" t="s">
        <v>172</v>
      </c>
      <c r="D174" s="16">
        <v>138</v>
      </c>
      <c r="E174" s="8">
        <v>2011.2670000000001</v>
      </c>
      <c r="F174" s="8">
        <v>19044</v>
      </c>
      <c r="G174" s="8">
        <v>0</v>
      </c>
      <c r="H174" s="8">
        <v>0</v>
      </c>
      <c r="I174" s="8">
        <v>0</v>
      </c>
      <c r="J174" s="8">
        <v>0</v>
      </c>
      <c r="K174" s="8">
        <v>0</v>
      </c>
      <c r="L174" s="8">
        <v>1</v>
      </c>
      <c r="M174" s="8">
        <v>0</v>
      </c>
      <c r="N174" s="8">
        <v>0</v>
      </c>
      <c r="O174" s="8">
        <v>0</v>
      </c>
      <c r="P174" s="8">
        <v>0</v>
      </c>
      <c r="Q174" s="8">
        <v>0</v>
      </c>
      <c r="R174" s="8">
        <v>0</v>
      </c>
    </row>
    <row r="175" spans="3:18" x14ac:dyDescent="0.35">
      <c r="C175" s="9" t="s">
        <v>173</v>
      </c>
      <c r="D175" s="16">
        <v>139</v>
      </c>
      <c r="E175" s="8">
        <v>2089.2579999999998</v>
      </c>
      <c r="F175" s="8">
        <v>19321</v>
      </c>
      <c r="G175" s="8">
        <v>0</v>
      </c>
      <c r="H175" s="8">
        <v>0</v>
      </c>
      <c r="I175" s="8">
        <v>0</v>
      </c>
      <c r="J175" s="8">
        <v>0</v>
      </c>
      <c r="K175" s="8">
        <v>0</v>
      </c>
      <c r="L175" s="8">
        <v>0</v>
      </c>
      <c r="M175" s="8">
        <v>1</v>
      </c>
      <c r="N175" s="8">
        <v>0</v>
      </c>
      <c r="O175" s="8">
        <v>0</v>
      </c>
      <c r="P175" s="8">
        <v>0</v>
      </c>
      <c r="Q175" s="8">
        <v>0</v>
      </c>
      <c r="R175" s="8">
        <v>0</v>
      </c>
    </row>
    <row r="176" spans="3:18" x14ac:dyDescent="0.35">
      <c r="C176" s="9" t="s">
        <v>174</v>
      </c>
      <c r="D176" s="16">
        <v>140</v>
      </c>
      <c r="E176" s="8">
        <v>2043.56</v>
      </c>
      <c r="F176" s="8">
        <v>19600</v>
      </c>
      <c r="G176" s="8">
        <v>0</v>
      </c>
      <c r="H176" s="8">
        <v>0</v>
      </c>
      <c r="I176" s="8">
        <v>0</v>
      </c>
      <c r="J176" s="8">
        <v>0</v>
      </c>
      <c r="K176" s="8">
        <v>0</v>
      </c>
      <c r="L176" s="8">
        <v>0</v>
      </c>
      <c r="M176" s="8">
        <v>0</v>
      </c>
      <c r="N176" s="8">
        <v>1</v>
      </c>
      <c r="O176" s="8">
        <v>0</v>
      </c>
      <c r="P176" s="8">
        <v>0</v>
      </c>
      <c r="Q176" s="8">
        <v>0</v>
      </c>
      <c r="R176" s="8">
        <v>0</v>
      </c>
    </row>
    <row r="177" spans="3:18" x14ac:dyDescent="0.35">
      <c r="C177" s="9" t="s">
        <v>175</v>
      </c>
      <c r="D177" s="16">
        <v>141</v>
      </c>
      <c r="E177" s="8">
        <v>1746.155</v>
      </c>
      <c r="F177" s="8">
        <v>19881</v>
      </c>
      <c r="G177" s="8">
        <v>0</v>
      </c>
      <c r="H177" s="8">
        <v>0</v>
      </c>
      <c r="I177" s="8">
        <v>0</v>
      </c>
      <c r="J177" s="8">
        <v>0</v>
      </c>
      <c r="K177" s="8">
        <v>0</v>
      </c>
      <c r="L177" s="8">
        <v>0</v>
      </c>
      <c r="M177" s="8">
        <v>0</v>
      </c>
      <c r="N177" s="8">
        <v>0</v>
      </c>
      <c r="O177" s="8">
        <v>1</v>
      </c>
      <c r="P177" s="8">
        <v>0</v>
      </c>
      <c r="Q177" s="8">
        <v>0</v>
      </c>
      <c r="R177" s="8">
        <v>0</v>
      </c>
    </row>
    <row r="178" spans="3:18" x14ac:dyDescent="0.35">
      <c r="C178" s="9" t="s">
        <v>176</v>
      </c>
      <c r="D178" s="16">
        <v>142</v>
      </c>
      <c r="E178" s="8">
        <v>1929.771</v>
      </c>
      <c r="F178" s="8">
        <v>20164</v>
      </c>
      <c r="G178" s="8">
        <v>0</v>
      </c>
      <c r="H178" s="8">
        <v>0</v>
      </c>
      <c r="I178" s="8">
        <v>0</v>
      </c>
      <c r="J178" s="8">
        <v>0</v>
      </c>
      <c r="K178" s="8">
        <v>0</v>
      </c>
      <c r="L178" s="8">
        <v>0</v>
      </c>
      <c r="M178" s="8">
        <v>0</v>
      </c>
      <c r="N178" s="8">
        <v>0</v>
      </c>
      <c r="O178" s="8">
        <v>0</v>
      </c>
      <c r="P178" s="8">
        <v>1</v>
      </c>
      <c r="Q178" s="8">
        <v>0</v>
      </c>
      <c r="R178" s="8">
        <v>0</v>
      </c>
    </row>
    <row r="179" spans="3:18" x14ac:dyDescent="0.35">
      <c r="C179" s="9" t="s">
        <v>177</v>
      </c>
      <c r="D179" s="16">
        <v>143</v>
      </c>
      <c r="E179" s="8">
        <v>1874.345</v>
      </c>
      <c r="F179" s="8">
        <v>20449</v>
      </c>
      <c r="G179" s="8">
        <v>0</v>
      </c>
      <c r="H179" s="8">
        <v>0</v>
      </c>
      <c r="I179" s="8">
        <v>0</v>
      </c>
      <c r="J179" s="8">
        <v>0</v>
      </c>
      <c r="K179" s="8">
        <v>0</v>
      </c>
      <c r="L179" s="8">
        <v>0</v>
      </c>
      <c r="M179" s="8">
        <v>0</v>
      </c>
      <c r="N179" s="8">
        <v>0</v>
      </c>
      <c r="O179" s="8">
        <v>0</v>
      </c>
      <c r="P179" s="8">
        <v>0</v>
      </c>
      <c r="Q179" s="8">
        <v>1</v>
      </c>
      <c r="R179" s="8">
        <v>0</v>
      </c>
    </row>
    <row r="180" spans="3:18" x14ac:dyDescent="0.35">
      <c r="C180" s="9" t="s">
        <v>178</v>
      </c>
      <c r="D180" s="16">
        <v>144</v>
      </c>
      <c r="E180" s="8">
        <v>2010.3520000000001</v>
      </c>
      <c r="F180" s="8">
        <v>20736</v>
      </c>
      <c r="G180" s="8">
        <v>0</v>
      </c>
      <c r="H180" s="8">
        <v>0</v>
      </c>
      <c r="I180" s="8">
        <v>0</v>
      </c>
      <c r="J180" s="8">
        <v>0</v>
      </c>
      <c r="K180" s="8">
        <v>0</v>
      </c>
      <c r="L180" s="8">
        <v>0</v>
      </c>
      <c r="M180" s="8">
        <v>0</v>
      </c>
      <c r="N180" s="8">
        <v>0</v>
      </c>
      <c r="O180" s="8">
        <v>0</v>
      </c>
      <c r="P180" s="8">
        <v>0</v>
      </c>
      <c r="Q180" s="8">
        <v>0</v>
      </c>
      <c r="R180" s="8">
        <v>1</v>
      </c>
    </row>
    <row r="181" spans="3:18" x14ac:dyDescent="0.35">
      <c r="C181" s="9" t="s">
        <v>179</v>
      </c>
      <c r="D181" s="16">
        <v>145</v>
      </c>
      <c r="E181" s="8">
        <v>1794.0329999999999</v>
      </c>
      <c r="F181" s="8">
        <v>21025</v>
      </c>
      <c r="G181" s="8">
        <v>1</v>
      </c>
      <c r="H181" s="8">
        <v>0</v>
      </c>
      <c r="I181" s="8">
        <v>0</v>
      </c>
      <c r="J181" s="8">
        <v>0</v>
      </c>
      <c r="K181" s="8">
        <v>0</v>
      </c>
      <c r="L181" s="8">
        <v>0</v>
      </c>
      <c r="M181" s="8">
        <v>0</v>
      </c>
      <c r="N181" s="8">
        <v>0</v>
      </c>
      <c r="O181" s="8">
        <v>0</v>
      </c>
      <c r="P181" s="8">
        <v>0</v>
      </c>
      <c r="Q181" s="8">
        <v>0</v>
      </c>
      <c r="R181" s="8">
        <v>0</v>
      </c>
    </row>
    <row r="182" spans="3:18" x14ac:dyDescent="0.35">
      <c r="C182" s="9" t="s">
        <v>180</v>
      </c>
      <c r="D182" s="16">
        <v>146</v>
      </c>
      <c r="E182" s="8">
        <v>1762.489</v>
      </c>
      <c r="F182" s="8">
        <v>21316</v>
      </c>
      <c r="G182" s="8">
        <v>0</v>
      </c>
      <c r="H182" s="8">
        <v>1</v>
      </c>
      <c r="I182" s="8">
        <v>0</v>
      </c>
      <c r="J182" s="8">
        <v>0</v>
      </c>
      <c r="K182" s="8">
        <v>0</v>
      </c>
      <c r="L182" s="8">
        <v>0</v>
      </c>
      <c r="M182" s="8">
        <v>0</v>
      </c>
      <c r="N182" s="8">
        <v>0</v>
      </c>
      <c r="O182" s="8">
        <v>0</v>
      </c>
      <c r="P182" s="8">
        <v>0</v>
      </c>
      <c r="Q182" s="8">
        <v>0</v>
      </c>
      <c r="R182" s="8">
        <v>0</v>
      </c>
    </row>
    <row r="183" spans="3:18" x14ac:dyDescent="0.35">
      <c r="C183" s="9" t="s">
        <v>181</v>
      </c>
      <c r="D183" s="16">
        <v>147</v>
      </c>
      <c r="E183" s="8">
        <v>2082.4659999999999</v>
      </c>
      <c r="F183" s="8">
        <v>21609</v>
      </c>
      <c r="G183" s="8">
        <v>0</v>
      </c>
      <c r="H183" s="8">
        <v>0</v>
      </c>
      <c r="I183" s="8">
        <v>1</v>
      </c>
      <c r="J183" s="8">
        <v>0</v>
      </c>
      <c r="K183" s="8">
        <v>0</v>
      </c>
      <c r="L183" s="8">
        <v>0</v>
      </c>
      <c r="M183" s="8">
        <v>0</v>
      </c>
      <c r="N183" s="8">
        <v>0</v>
      </c>
      <c r="O183" s="8">
        <v>0</v>
      </c>
      <c r="P183" s="8">
        <v>0</v>
      </c>
      <c r="Q183" s="8">
        <v>0</v>
      </c>
      <c r="R183" s="8">
        <v>0</v>
      </c>
    </row>
    <row r="184" spans="3:18" x14ac:dyDescent="0.35">
      <c r="C184" s="9" t="s">
        <v>182</v>
      </c>
      <c r="D184" s="16">
        <v>148</v>
      </c>
      <c r="E184" s="8">
        <v>2115.8989999999999</v>
      </c>
      <c r="F184" s="8">
        <v>21904</v>
      </c>
      <c r="G184" s="8">
        <v>0</v>
      </c>
      <c r="H184" s="8">
        <v>0</v>
      </c>
      <c r="I184" s="8">
        <v>0</v>
      </c>
      <c r="J184" s="8">
        <v>1</v>
      </c>
      <c r="K184" s="8">
        <v>0</v>
      </c>
      <c r="L184" s="8">
        <v>0</v>
      </c>
      <c r="M184" s="8">
        <v>0</v>
      </c>
      <c r="N184" s="8">
        <v>0</v>
      </c>
      <c r="O184" s="8">
        <v>0</v>
      </c>
      <c r="P184" s="8">
        <v>0</v>
      </c>
      <c r="Q184" s="8">
        <v>0</v>
      </c>
      <c r="R184" s="8">
        <v>0</v>
      </c>
    </row>
    <row r="185" spans="3:18" x14ac:dyDescent="0.35">
      <c r="C185" s="9" t="s">
        <v>183</v>
      </c>
      <c r="D185" s="16">
        <v>149</v>
      </c>
      <c r="E185" s="8">
        <v>2120.9110000000001</v>
      </c>
      <c r="F185" s="8">
        <v>22201</v>
      </c>
      <c r="G185" s="8">
        <v>0</v>
      </c>
      <c r="H185" s="8">
        <v>0</v>
      </c>
      <c r="I185" s="8">
        <v>0</v>
      </c>
      <c r="J185" s="8">
        <v>0</v>
      </c>
      <c r="K185" s="8">
        <v>1</v>
      </c>
      <c r="L185" s="8">
        <v>0</v>
      </c>
      <c r="M185" s="8">
        <v>0</v>
      </c>
      <c r="N185" s="8">
        <v>0</v>
      </c>
      <c r="O185" s="8">
        <v>0</v>
      </c>
      <c r="P185" s="8">
        <v>0</v>
      </c>
      <c r="Q185" s="8">
        <v>0</v>
      </c>
      <c r="R185" s="8">
        <v>0</v>
      </c>
    </row>
    <row r="186" spans="3:18" x14ac:dyDescent="0.35">
      <c r="C186" s="9" t="s">
        <v>184</v>
      </c>
      <c r="D186" s="16">
        <v>150</v>
      </c>
      <c r="E186" s="8">
        <v>2143.6709999999998</v>
      </c>
      <c r="F186" s="8">
        <v>22500</v>
      </c>
      <c r="G186" s="8">
        <v>0</v>
      </c>
      <c r="H186" s="8">
        <v>0</v>
      </c>
      <c r="I186" s="8">
        <v>0</v>
      </c>
      <c r="J186" s="8">
        <v>0</v>
      </c>
      <c r="K186" s="8">
        <v>0</v>
      </c>
      <c r="L186" s="8">
        <v>1</v>
      </c>
      <c r="M186" s="8">
        <v>0</v>
      </c>
      <c r="N186" s="8">
        <v>0</v>
      </c>
      <c r="O186" s="8">
        <v>0</v>
      </c>
      <c r="P186" s="8">
        <v>0</v>
      </c>
      <c r="Q186" s="8">
        <v>0</v>
      </c>
      <c r="R186" s="8">
        <v>0</v>
      </c>
    </row>
    <row r="187" spans="3:18" x14ac:dyDescent="0.35">
      <c r="C187" s="9" t="s">
        <v>185</v>
      </c>
      <c r="D187" s="16">
        <v>151</v>
      </c>
      <c r="E187" s="8">
        <v>2236.3490000000002</v>
      </c>
      <c r="F187" s="8">
        <v>22801</v>
      </c>
      <c r="G187" s="8">
        <v>0</v>
      </c>
      <c r="H187" s="8">
        <v>0</v>
      </c>
      <c r="I187" s="8">
        <v>0</v>
      </c>
      <c r="J187" s="8">
        <v>0</v>
      </c>
      <c r="K187" s="8">
        <v>0</v>
      </c>
      <c r="L187" s="8">
        <v>0</v>
      </c>
      <c r="M187" s="8">
        <v>1</v>
      </c>
      <c r="N187" s="8">
        <v>0</v>
      </c>
      <c r="O187" s="8">
        <v>0</v>
      </c>
      <c r="P187" s="8">
        <v>0</v>
      </c>
      <c r="Q187" s="8">
        <v>0</v>
      </c>
      <c r="R187" s="8">
        <v>0</v>
      </c>
    </row>
    <row r="188" spans="3:18" x14ac:dyDescent="0.35">
      <c r="C188" s="9" t="s">
        <v>186</v>
      </c>
      <c r="D188" s="16">
        <v>152</v>
      </c>
      <c r="E188" s="8">
        <v>2189.36</v>
      </c>
      <c r="F188" s="8">
        <v>23104</v>
      </c>
      <c r="G188" s="8">
        <v>0</v>
      </c>
      <c r="H188" s="8">
        <v>0</v>
      </c>
      <c r="I188" s="8">
        <v>0</v>
      </c>
      <c r="J188" s="8">
        <v>0</v>
      </c>
      <c r="K188" s="8">
        <v>0</v>
      </c>
      <c r="L188" s="8">
        <v>0</v>
      </c>
      <c r="M188" s="8">
        <v>0</v>
      </c>
      <c r="N188" s="8">
        <v>1</v>
      </c>
      <c r="O188" s="8">
        <v>0</v>
      </c>
      <c r="P188" s="8">
        <v>0</v>
      </c>
      <c r="Q188" s="8">
        <v>0</v>
      </c>
      <c r="R188" s="8">
        <v>0</v>
      </c>
    </row>
    <row r="189" spans="3:18" x14ac:dyDescent="0.35">
      <c r="C189" s="9" t="s">
        <v>187</v>
      </c>
      <c r="D189" s="16">
        <v>153</v>
      </c>
      <c r="E189" s="8">
        <v>1943.4059999999999</v>
      </c>
      <c r="F189" s="8">
        <v>23409</v>
      </c>
      <c r="G189" s="8">
        <v>0</v>
      </c>
      <c r="H189" s="8">
        <v>0</v>
      </c>
      <c r="I189" s="8">
        <v>0</v>
      </c>
      <c r="J189" s="8">
        <v>0</v>
      </c>
      <c r="K189" s="8">
        <v>0</v>
      </c>
      <c r="L189" s="8">
        <v>0</v>
      </c>
      <c r="M189" s="8">
        <v>0</v>
      </c>
      <c r="N189" s="8">
        <v>0</v>
      </c>
      <c r="O189" s="8">
        <v>1</v>
      </c>
      <c r="P189" s="8">
        <v>0</v>
      </c>
      <c r="Q189" s="8">
        <v>0</v>
      </c>
      <c r="R189" s="8">
        <v>0</v>
      </c>
    </row>
    <row r="190" spans="3:18" x14ac:dyDescent="0.35">
      <c r="C190" s="9" t="s">
        <v>188</v>
      </c>
      <c r="D190" s="16">
        <v>154</v>
      </c>
      <c r="E190" s="8">
        <v>2135.4699999999998</v>
      </c>
      <c r="F190" s="8">
        <v>23716</v>
      </c>
      <c r="G190" s="8">
        <v>0</v>
      </c>
      <c r="H190" s="8">
        <v>0</v>
      </c>
      <c r="I190" s="8">
        <v>0</v>
      </c>
      <c r="J190" s="8">
        <v>0</v>
      </c>
      <c r="K190" s="8">
        <v>0</v>
      </c>
      <c r="L190" s="8">
        <v>0</v>
      </c>
      <c r="M190" s="8">
        <v>0</v>
      </c>
      <c r="N190" s="8">
        <v>0</v>
      </c>
      <c r="O190" s="8">
        <v>0</v>
      </c>
      <c r="P190" s="8">
        <v>1</v>
      </c>
      <c r="Q190" s="8">
        <v>0</v>
      </c>
      <c r="R190" s="8">
        <v>0</v>
      </c>
    </row>
    <row r="191" spans="3:18" x14ac:dyDescent="0.35">
      <c r="C191" s="9" t="s">
        <v>189</v>
      </c>
      <c r="D191" s="16">
        <v>155</v>
      </c>
      <c r="E191" s="8">
        <v>2091.0540000000001</v>
      </c>
      <c r="F191" s="8">
        <v>24025</v>
      </c>
      <c r="G191" s="8">
        <v>0</v>
      </c>
      <c r="H191" s="8">
        <v>0</v>
      </c>
      <c r="I191" s="8">
        <v>0</v>
      </c>
      <c r="J191" s="8">
        <v>0</v>
      </c>
      <c r="K191" s="8">
        <v>0</v>
      </c>
      <c r="L191" s="8">
        <v>0</v>
      </c>
      <c r="M191" s="8">
        <v>0</v>
      </c>
      <c r="N191" s="8">
        <v>0</v>
      </c>
      <c r="O191" s="8">
        <v>0</v>
      </c>
      <c r="P191" s="8">
        <v>0</v>
      </c>
      <c r="Q191" s="8">
        <v>1</v>
      </c>
      <c r="R191" s="8">
        <v>0</v>
      </c>
    </row>
    <row r="192" spans="3:18" x14ac:dyDescent="0.35">
      <c r="C192" s="9" t="s">
        <v>190</v>
      </c>
      <c r="D192" s="16">
        <v>156</v>
      </c>
      <c r="E192" s="8">
        <v>2154.6770000000001</v>
      </c>
      <c r="F192" s="8">
        <v>24336</v>
      </c>
      <c r="G192" s="8">
        <v>0</v>
      </c>
      <c r="H192" s="8">
        <v>0</v>
      </c>
      <c r="I192" s="8">
        <v>0</v>
      </c>
      <c r="J192" s="8">
        <v>0</v>
      </c>
      <c r="K192" s="8">
        <v>0</v>
      </c>
      <c r="L192" s="8">
        <v>0</v>
      </c>
      <c r="M192" s="8">
        <v>0</v>
      </c>
      <c r="N192" s="8">
        <v>0</v>
      </c>
      <c r="O192" s="8">
        <v>0</v>
      </c>
      <c r="P192" s="8">
        <v>0</v>
      </c>
      <c r="Q192" s="8">
        <v>0</v>
      </c>
      <c r="R192" s="8">
        <v>1</v>
      </c>
    </row>
    <row r="193" spans="3:18" x14ac:dyDescent="0.35">
      <c r="C193" s="9" t="s">
        <v>191</v>
      </c>
      <c r="D193" s="16">
        <v>157</v>
      </c>
      <c r="E193" s="8">
        <v>1847.508</v>
      </c>
      <c r="F193" s="8">
        <v>24649</v>
      </c>
      <c r="G193" s="8">
        <v>1</v>
      </c>
      <c r="H193" s="8">
        <v>0</v>
      </c>
      <c r="I193" s="8">
        <v>0</v>
      </c>
      <c r="J193" s="8">
        <v>0</v>
      </c>
      <c r="K193" s="8">
        <v>0</v>
      </c>
      <c r="L193" s="8">
        <v>0</v>
      </c>
      <c r="M193" s="8">
        <v>0</v>
      </c>
      <c r="N193" s="8">
        <v>0</v>
      </c>
      <c r="O193" s="8">
        <v>0</v>
      </c>
      <c r="P193" s="8">
        <v>0</v>
      </c>
      <c r="Q193" s="8">
        <v>0</v>
      </c>
      <c r="R193" s="8">
        <v>0</v>
      </c>
    </row>
    <row r="194" spans="3:18" x14ac:dyDescent="0.35">
      <c r="C194" s="9" t="s">
        <v>192</v>
      </c>
      <c r="D194" s="16">
        <v>158</v>
      </c>
      <c r="E194" s="8">
        <v>1852.0060000000001</v>
      </c>
      <c r="F194" s="8">
        <v>24964</v>
      </c>
      <c r="G194" s="8">
        <v>0</v>
      </c>
      <c r="H194" s="8">
        <v>1</v>
      </c>
      <c r="I194" s="8">
        <v>0</v>
      </c>
      <c r="J194" s="8">
        <v>0</v>
      </c>
      <c r="K194" s="8">
        <v>0</v>
      </c>
      <c r="L194" s="8">
        <v>0</v>
      </c>
      <c r="M194" s="8">
        <v>0</v>
      </c>
      <c r="N194" s="8">
        <v>0</v>
      </c>
      <c r="O194" s="8">
        <v>0</v>
      </c>
      <c r="P194" s="8">
        <v>0</v>
      </c>
      <c r="Q194" s="8">
        <v>0</v>
      </c>
      <c r="R194" s="8">
        <v>0</v>
      </c>
    </row>
    <row r="195" spans="3:18" x14ac:dyDescent="0.35">
      <c r="C195" s="9" t="s">
        <v>193</v>
      </c>
      <c r="D195" s="16">
        <v>159</v>
      </c>
      <c r="E195" s="8">
        <v>2145.4459999999999</v>
      </c>
      <c r="F195" s="8">
        <v>25281</v>
      </c>
      <c r="G195" s="8">
        <v>0</v>
      </c>
      <c r="H195" s="8">
        <v>0</v>
      </c>
      <c r="I195" s="8">
        <v>1</v>
      </c>
      <c r="J195" s="8">
        <v>0</v>
      </c>
      <c r="K195" s="8">
        <v>0</v>
      </c>
      <c r="L195" s="8">
        <v>0</v>
      </c>
      <c r="M195" s="8">
        <v>0</v>
      </c>
      <c r="N195" s="8">
        <v>0</v>
      </c>
      <c r="O195" s="8">
        <v>0</v>
      </c>
      <c r="P195" s="8">
        <v>0</v>
      </c>
      <c r="Q195" s="8">
        <v>0</v>
      </c>
      <c r="R195" s="8">
        <v>0</v>
      </c>
    </row>
    <row r="196" spans="3:18" x14ac:dyDescent="0.35">
      <c r="D196" s="14"/>
    </row>
  </sheetData>
  <mergeCells count="27">
    <mergeCell ref="C12:I12"/>
    <mergeCell ref="C13:E13"/>
    <mergeCell ref="C14:E14"/>
    <mergeCell ref="C15:E15"/>
    <mergeCell ref="C16:E16"/>
    <mergeCell ref="F13:I13"/>
    <mergeCell ref="F14:I14"/>
    <mergeCell ref="F15:I15"/>
    <mergeCell ref="F16:I16"/>
    <mergeCell ref="C18:S18"/>
    <mergeCell ref="C19:E19"/>
    <mergeCell ref="C20:E20"/>
    <mergeCell ref="C21:E21"/>
    <mergeCell ref="F19:S19"/>
    <mergeCell ref="F20:S20"/>
    <mergeCell ref="C23:I23"/>
    <mergeCell ref="C24:E24"/>
    <mergeCell ref="C25:E25"/>
    <mergeCell ref="C26:E26"/>
    <mergeCell ref="F24:I24"/>
    <mergeCell ref="F25:I25"/>
    <mergeCell ref="F26:I26"/>
    <mergeCell ref="B4:C4"/>
    <mergeCell ref="D4:E4"/>
    <mergeCell ref="F4:G4"/>
    <mergeCell ref="B3:G3"/>
    <mergeCell ref="J3:M3"/>
  </mergeCells>
  <hyperlinks>
    <hyperlink ref="B4" location="'TSPartition6'!$B$10:$B$10" display="Inputs" xr:uid="{FD951AFF-C936-4F6B-8FA4-A6E72D2B88C2}"/>
    <hyperlink ref="D4" location="'TSPartition6'!$B$28:$B$28" display="Partition Summary" xr:uid="{0E7105A3-0502-40B9-84D1-CC43229CB496}"/>
    <hyperlink ref="F4" location="'TSPartition6'!$B$34:$B$34" display="Partitioned Data" xr:uid="{B245F712-8AB8-4B48-8D48-4BEC8D32A09C}"/>
  </hyperlinks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Data_Raw</vt:lpstr>
      <vt:lpstr>Sheet72</vt:lpstr>
      <vt:lpstr>Sheet69</vt:lpstr>
      <vt:lpstr>TS_Lags1</vt:lpstr>
      <vt:lpstr>TS_Lags</vt:lpstr>
      <vt:lpstr>Sheet61</vt:lpstr>
      <vt:lpstr>Sheet29</vt:lpstr>
      <vt:lpstr>TSPartition6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ambuj singh</cp:lastModifiedBy>
  <dcterms:created xsi:type="dcterms:W3CDTF">2019-05-26T04:55:32Z</dcterms:created>
  <dcterms:modified xsi:type="dcterms:W3CDTF">2022-08-02T12:11:04Z</dcterms:modified>
</cp:coreProperties>
</file>